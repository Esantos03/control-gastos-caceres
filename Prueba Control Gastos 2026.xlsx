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bookViews>
    <workbookView xWindow="0" yWindow="0" windowWidth="21570" windowHeight="7920" tabRatio="784" activeTab="3"/>
  </bookViews>
  <sheets>
    <sheet name="Tasa Cambio" sheetId="16" r:id="rId1"/>
    <sheet name="Comparativos" sheetId="4" r:id="rId2"/>
    <sheet name="2025" sheetId="68" r:id="rId3"/>
    <sheet name="2026" sheetId="65" r:id="rId4"/>
    <sheet name="Gastos TC enero 2026" sheetId="37" r:id="rId5"/>
  </sheets>
  <externalReferences>
    <externalReference r:id="rId6"/>
  </externalReferences>
  <definedNames>
    <definedName name="_xlnm.Print_Area" localSheetId="3">'2026'!$A$2:$C$52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F9" i="65" l="1"/>
  <c r="F36" i="65"/>
  <c r="D26" i="65"/>
  <c r="H112" i="4"/>
  <c r="W125" i="4"/>
  <c r="Q125" i="4"/>
  <c r="N125" i="4"/>
  <c r="K125" i="4"/>
  <c r="H125" i="4"/>
  <c r="E125" i="4"/>
  <c r="T112" i="4"/>
  <c r="T125" i="4" s="1"/>
  <c r="Q112" i="4"/>
  <c r="N112" i="4"/>
  <c r="K112" i="4"/>
  <c r="E112" i="4"/>
  <c r="C76" i="37"/>
  <c r="E36" i="65"/>
  <c r="H7" i="37"/>
  <c r="H5" i="37"/>
  <c r="H4" i="37"/>
  <c r="H3" i="37"/>
  <c r="C163" i="37"/>
  <c r="E136" i="37"/>
  <c r="C136" i="37"/>
  <c r="H150" i="68"/>
  <c r="W58" i="68"/>
  <c r="U58" i="68"/>
  <c r="S58" i="68"/>
  <c r="Q58" i="68"/>
  <c r="O58" i="68"/>
  <c r="M58" i="68"/>
  <c r="K58" i="68"/>
  <c r="I58" i="68"/>
  <c r="G58" i="68"/>
  <c r="E58" i="68"/>
  <c r="C58" i="68"/>
  <c r="Q53" i="68"/>
  <c r="O53" i="68"/>
  <c r="G53" i="68"/>
  <c r="E53" i="68"/>
  <c r="C53" i="68"/>
  <c r="X52" i="68"/>
  <c r="V52" i="68"/>
  <c r="R52" i="68"/>
  <c r="M52" i="68"/>
  <c r="AA52" i="68" s="1"/>
  <c r="J52" i="68"/>
  <c r="H52" i="68"/>
  <c r="D52" i="68"/>
  <c r="AA51" i="68"/>
  <c r="X51" i="68"/>
  <c r="V51" i="68"/>
  <c r="T51" i="68"/>
  <c r="R51" i="68"/>
  <c r="P51" i="68"/>
  <c r="AA50" i="68"/>
  <c r="P50" i="68"/>
  <c r="Z50" i="68" s="1"/>
  <c r="AA49" i="68"/>
  <c r="X49" i="68"/>
  <c r="V49" i="68"/>
  <c r="T49" i="68"/>
  <c r="R49" i="68"/>
  <c r="P49" i="68"/>
  <c r="N49" i="68"/>
  <c r="L49" i="68"/>
  <c r="J49" i="68"/>
  <c r="Z49" i="68" s="1"/>
  <c r="AA48" i="68"/>
  <c r="H48" i="68"/>
  <c r="Z48" i="68" s="1"/>
  <c r="AA47" i="68"/>
  <c r="X47" i="68"/>
  <c r="V47" i="68"/>
  <c r="T47" i="68"/>
  <c r="R47" i="68"/>
  <c r="P47" i="68"/>
  <c r="N47" i="68"/>
  <c r="L47" i="68"/>
  <c r="J47" i="68"/>
  <c r="H47" i="68"/>
  <c r="F47" i="68"/>
  <c r="F31" i="68" s="1"/>
  <c r="F39" i="68" s="1"/>
  <c r="D47" i="68"/>
  <c r="B47" i="68"/>
  <c r="Y46" i="68"/>
  <c r="V46" i="68"/>
  <c r="T46" i="68"/>
  <c r="S46" i="68"/>
  <c r="S53" i="68" s="1"/>
  <c r="R46" i="68"/>
  <c r="P46" i="68"/>
  <c r="N46" i="68"/>
  <c r="M46" i="68"/>
  <c r="L46" i="68"/>
  <c r="K46" i="68"/>
  <c r="H46" i="68"/>
  <c r="B46" i="68"/>
  <c r="AA45" i="68"/>
  <c r="V45" i="68"/>
  <c r="Z45" i="68" s="1"/>
  <c r="V44" i="68"/>
  <c r="U44" i="68"/>
  <c r="AA44" i="68" s="1"/>
  <c r="T44" i="68"/>
  <c r="R44" i="68"/>
  <c r="F44" i="68"/>
  <c r="D44" i="68"/>
  <c r="Z44" i="68" s="1"/>
  <c r="AA43" i="68"/>
  <c r="X43" i="68"/>
  <c r="Z43" i="68" s="1"/>
  <c r="X42" i="68"/>
  <c r="V42" i="68"/>
  <c r="U42" i="68"/>
  <c r="T42" i="68"/>
  <c r="R42" i="68"/>
  <c r="P42" i="68"/>
  <c r="N42" i="68"/>
  <c r="L42" i="68"/>
  <c r="L53" i="68" s="1"/>
  <c r="J42" i="68"/>
  <c r="H42" i="68"/>
  <c r="F42" i="68"/>
  <c r="D42" i="68"/>
  <c r="D53" i="68" s="1"/>
  <c r="B42" i="68"/>
  <c r="Y41" i="68"/>
  <c r="Y53" i="68" s="1"/>
  <c r="W41" i="68"/>
  <c r="W53" i="68" s="1"/>
  <c r="R41" i="68"/>
  <c r="R53" i="68" s="1"/>
  <c r="N41" i="68"/>
  <c r="M41" i="68"/>
  <c r="M53" i="68" s="1"/>
  <c r="K41" i="68"/>
  <c r="J41" i="68"/>
  <c r="I41" i="68"/>
  <c r="F41" i="68"/>
  <c r="F32" i="68" s="1"/>
  <c r="AA40" i="68"/>
  <c r="Z40" i="68"/>
  <c r="Z38" i="68"/>
  <c r="W38" i="68"/>
  <c r="U38" i="68"/>
  <c r="S38" i="68"/>
  <c r="Q38" i="68"/>
  <c r="O38" i="68"/>
  <c r="M38" i="68"/>
  <c r="K38" i="68"/>
  <c r="I38" i="68"/>
  <c r="G38" i="68"/>
  <c r="E38" i="68"/>
  <c r="C38" i="68"/>
  <c r="AA38" i="68" s="1"/>
  <c r="AA37" i="68"/>
  <c r="X37" i="68"/>
  <c r="V37" i="68"/>
  <c r="T37" i="68"/>
  <c r="R37" i="68"/>
  <c r="P37" i="68"/>
  <c r="N37" i="68"/>
  <c r="L37" i="68"/>
  <c r="J37" i="68"/>
  <c r="H37" i="68"/>
  <c r="Z36" i="68"/>
  <c r="Y36" i="68"/>
  <c r="C36" i="68"/>
  <c r="AA35" i="68"/>
  <c r="X35" i="68"/>
  <c r="V35" i="68"/>
  <c r="T35" i="68"/>
  <c r="R35" i="68"/>
  <c r="P35" i="68"/>
  <c r="N35" i="68"/>
  <c r="L35" i="68"/>
  <c r="J35" i="68"/>
  <c r="H35" i="68"/>
  <c r="F35" i="68"/>
  <c r="D35" i="68"/>
  <c r="B35" i="68"/>
  <c r="Z34" i="68"/>
  <c r="Y34" i="68"/>
  <c r="W34" i="68"/>
  <c r="U34" i="68"/>
  <c r="S34" i="68"/>
  <c r="Q34" i="68"/>
  <c r="O34" i="68"/>
  <c r="M34" i="68"/>
  <c r="K34" i="68"/>
  <c r="G34" i="68"/>
  <c r="E34" i="68"/>
  <c r="C34" i="68"/>
  <c r="Z33" i="68"/>
  <c r="Y33" i="68"/>
  <c r="W33" i="68"/>
  <c r="U33" i="68"/>
  <c r="U39" i="68" s="1"/>
  <c r="S33" i="68"/>
  <c r="S39" i="68" s="1"/>
  <c r="Q33" i="68"/>
  <c r="O33" i="68"/>
  <c r="K33" i="68"/>
  <c r="I33" i="68"/>
  <c r="G33" i="68"/>
  <c r="E33" i="68"/>
  <c r="E39" i="68" s="1"/>
  <c r="C33" i="68"/>
  <c r="Y32" i="68"/>
  <c r="X32" i="68"/>
  <c r="W32" i="68"/>
  <c r="V32" i="68"/>
  <c r="T32" i="68"/>
  <c r="R32" i="68"/>
  <c r="Q32" i="68"/>
  <c r="P32" i="68"/>
  <c r="N32" i="68"/>
  <c r="L32" i="68"/>
  <c r="J32" i="68"/>
  <c r="H32" i="68"/>
  <c r="D32" i="68"/>
  <c r="B32" i="68"/>
  <c r="X31" i="68"/>
  <c r="V31" i="68"/>
  <c r="V39" i="68" s="1"/>
  <c r="T31" i="68"/>
  <c r="T39" i="68" s="1"/>
  <c r="R31" i="68"/>
  <c r="Q31" i="68"/>
  <c r="P31" i="68"/>
  <c r="N31" i="68"/>
  <c r="L31" i="68"/>
  <c r="K31" i="68"/>
  <c r="J31" i="68"/>
  <c r="J39" i="68" s="1"/>
  <c r="H31" i="68"/>
  <c r="H39" i="68" s="1"/>
  <c r="B31" i="68"/>
  <c r="AA30" i="68"/>
  <c r="Z30" i="68"/>
  <c r="Y29" i="68"/>
  <c r="W29" i="68"/>
  <c r="U29" i="68"/>
  <c r="S29" i="68"/>
  <c r="Q29" i="68"/>
  <c r="P29" i="68"/>
  <c r="O29" i="68"/>
  <c r="N29" i="68"/>
  <c r="L29" i="68"/>
  <c r="K29" i="68"/>
  <c r="J29" i="68"/>
  <c r="H29" i="68"/>
  <c r="G29" i="68"/>
  <c r="F29" i="68"/>
  <c r="E29" i="68"/>
  <c r="C29" i="68"/>
  <c r="Z28" i="68"/>
  <c r="M28" i="68"/>
  <c r="I28" i="68"/>
  <c r="AA27" i="68"/>
  <c r="X27" i="68"/>
  <c r="V27" i="68"/>
  <c r="V29" i="68" s="1"/>
  <c r="T27" i="68"/>
  <c r="R27" i="68"/>
  <c r="D27" i="68"/>
  <c r="D31" i="68" s="1"/>
  <c r="D39" i="68" s="1"/>
  <c r="B27" i="68"/>
  <c r="Z27" i="68" s="1"/>
  <c r="AA26" i="68"/>
  <c r="Z26" i="68"/>
  <c r="AA25" i="68"/>
  <c r="X25" i="68"/>
  <c r="T25" i="68"/>
  <c r="T29" i="68" s="1"/>
  <c r="R25" i="68"/>
  <c r="R29" i="68" s="1"/>
  <c r="D25" i="68"/>
  <c r="D29" i="68" s="1"/>
  <c r="B25" i="68"/>
  <c r="AA24" i="68"/>
  <c r="Z24" i="68"/>
  <c r="Y23" i="68"/>
  <c r="U23" i="68"/>
  <c r="Q23" i="68"/>
  <c r="O23" i="68"/>
  <c r="M23" i="68"/>
  <c r="K23" i="68"/>
  <c r="I23" i="68"/>
  <c r="G23" i="68"/>
  <c r="E23" i="68"/>
  <c r="AA22" i="68"/>
  <c r="X22" i="68"/>
  <c r="V22" i="68"/>
  <c r="T22" i="68"/>
  <c r="Z22" i="68" s="1"/>
  <c r="AA21" i="68"/>
  <c r="T21" i="68"/>
  <c r="R21" i="68"/>
  <c r="Z21" i="68" s="1"/>
  <c r="AA20" i="68"/>
  <c r="H20" i="68"/>
  <c r="Z20" i="68" s="1"/>
  <c r="AA19" i="68"/>
  <c r="J19" i="68"/>
  <c r="Z19" i="68" s="1"/>
  <c r="AA18" i="68"/>
  <c r="Z18" i="68"/>
  <c r="AA17" i="68"/>
  <c r="X17" i="68"/>
  <c r="Z17" i="68" s="1"/>
  <c r="AA16" i="68"/>
  <c r="X16" i="68"/>
  <c r="V16" i="68"/>
  <c r="T16" i="68"/>
  <c r="R16" i="68"/>
  <c r="P16" i="68"/>
  <c r="L16" i="68"/>
  <c r="J16" i="68"/>
  <c r="H16" i="68"/>
  <c r="F16" i="68"/>
  <c r="D16" i="68"/>
  <c r="Z16" i="68" s="1"/>
  <c r="AA15" i="68"/>
  <c r="X15" i="68"/>
  <c r="X23" i="68" s="1"/>
  <c r="V15" i="68"/>
  <c r="V23" i="68" s="1"/>
  <c r="T15" i="68"/>
  <c r="T23" i="68" s="1"/>
  <c r="R15" i="68"/>
  <c r="R23" i="68" s="1"/>
  <c r="P15" i="68"/>
  <c r="P23" i="68" s="1"/>
  <c r="N15" i="68"/>
  <c r="N23" i="68" s="1"/>
  <c r="L15" i="68"/>
  <c r="L23" i="68" s="1"/>
  <c r="J15" i="68"/>
  <c r="J23" i="68" s="1"/>
  <c r="H15" i="68"/>
  <c r="H23" i="68" s="1"/>
  <c r="F15" i="68"/>
  <c r="F23" i="68" s="1"/>
  <c r="D15" i="68"/>
  <c r="D23" i="68" s="1"/>
  <c r="B15" i="68"/>
  <c r="Y13" i="68"/>
  <c r="W13" i="68"/>
  <c r="U13" i="68"/>
  <c r="S13" i="68"/>
  <c r="Q13" i="68"/>
  <c r="O13" i="68"/>
  <c r="N13" i="68"/>
  <c r="M13" i="68"/>
  <c r="K13" i="68"/>
  <c r="G13" i="68"/>
  <c r="E13" i="68"/>
  <c r="C13" i="68"/>
  <c r="X12" i="68"/>
  <c r="V12" i="68"/>
  <c r="T12" i="68"/>
  <c r="R12" i="68"/>
  <c r="P12" i="68"/>
  <c r="L12" i="68"/>
  <c r="J12" i="68"/>
  <c r="I12" i="68"/>
  <c r="AA12" i="68" s="1"/>
  <c r="H12" i="68"/>
  <c r="F12" i="68"/>
  <c r="F13" i="68" s="1"/>
  <c r="D12" i="68"/>
  <c r="X11" i="68"/>
  <c r="X13" i="68" s="1"/>
  <c r="V11" i="68"/>
  <c r="T11" i="68"/>
  <c r="R11" i="68"/>
  <c r="R13" i="68" s="1"/>
  <c r="P11" i="68"/>
  <c r="P13" i="68" s="1"/>
  <c r="L11" i="68"/>
  <c r="L13" i="68" s="1"/>
  <c r="J11" i="68"/>
  <c r="J13" i="68" s="1"/>
  <c r="I11" i="68"/>
  <c r="H11" i="68"/>
  <c r="H13" i="68" s="1"/>
  <c r="B11" i="68"/>
  <c r="AA10" i="68"/>
  <c r="Z10" i="68"/>
  <c r="W9" i="68"/>
  <c r="U9" i="68"/>
  <c r="M9" i="68"/>
  <c r="K9" i="68"/>
  <c r="E9" i="68"/>
  <c r="C9" i="68"/>
  <c r="Y8" i="68"/>
  <c r="Y9" i="68" s="1"/>
  <c r="X8" i="68"/>
  <c r="V8" i="68"/>
  <c r="T8" i="68"/>
  <c r="S8" i="68"/>
  <c r="S9" i="68" s="1"/>
  <c r="R8" i="68"/>
  <c r="Q8" i="68"/>
  <c r="Q9" i="68" s="1"/>
  <c r="P8" i="68"/>
  <c r="O8" i="68"/>
  <c r="N8" i="68"/>
  <c r="L8" i="68"/>
  <c r="AA7" i="68"/>
  <c r="X7" i="68"/>
  <c r="V7" i="68"/>
  <c r="T7" i="68"/>
  <c r="R7" i="68"/>
  <c r="P7" i="68"/>
  <c r="N7" i="68"/>
  <c r="L7" i="68"/>
  <c r="J7" i="68"/>
  <c r="H7" i="68"/>
  <c r="F7" i="68"/>
  <c r="D7" i="68"/>
  <c r="B7" i="68"/>
  <c r="X6" i="68"/>
  <c r="V6" i="68"/>
  <c r="T6" i="68"/>
  <c r="R6" i="68"/>
  <c r="P6" i="68"/>
  <c r="N6" i="68"/>
  <c r="L6" i="68"/>
  <c r="J6" i="68"/>
  <c r="I6" i="68"/>
  <c r="H6" i="68"/>
  <c r="F6" i="68"/>
  <c r="D6" i="68"/>
  <c r="B6" i="68"/>
  <c r="Z6" i="68" s="1"/>
  <c r="AA5" i="68"/>
  <c r="L5" i="68"/>
  <c r="AD4" i="68"/>
  <c r="AA4" i="68"/>
  <c r="X4" i="68"/>
  <c r="V4" i="68"/>
  <c r="T4" i="68"/>
  <c r="R4" i="68"/>
  <c r="P4" i="68"/>
  <c r="N4" i="68"/>
  <c r="L4" i="68"/>
  <c r="J4" i="68"/>
  <c r="H4" i="68"/>
  <c r="F4" i="68"/>
  <c r="D4" i="68"/>
  <c r="B4" i="68"/>
  <c r="AD3" i="68"/>
  <c r="AD5" i="68" s="1"/>
  <c r="AA3" i="68"/>
  <c r="X3" i="68"/>
  <c r="V3" i="68"/>
  <c r="T3" i="68"/>
  <c r="R3" i="68"/>
  <c r="P3" i="68"/>
  <c r="N3" i="68"/>
  <c r="L3" i="68"/>
  <c r="L9" i="68" s="1"/>
  <c r="J3" i="68"/>
  <c r="J9" i="68" s="1"/>
  <c r="H3" i="68"/>
  <c r="F3" i="68"/>
  <c r="D3" i="68"/>
  <c r="B3" i="68"/>
  <c r="C289" i="37"/>
  <c r="C290" i="37"/>
  <c r="C215" i="37"/>
  <c r="D164" i="37"/>
  <c r="AA25" i="65"/>
  <c r="K106" i="4"/>
  <c r="B105" i="4"/>
  <c r="E105" i="4"/>
  <c r="H105" i="4"/>
  <c r="K105" i="4"/>
  <c r="N105" i="4"/>
  <c r="Q105" i="4"/>
  <c r="T105" i="4"/>
  <c r="W105" i="4"/>
  <c r="B106" i="4"/>
  <c r="E106" i="4"/>
  <c r="H106" i="4"/>
  <c r="N106" i="4"/>
  <c r="Q106" i="4"/>
  <c r="T106" i="4"/>
  <c r="W106" i="4"/>
  <c r="B26" i="65"/>
  <c r="B20" i="65"/>
  <c r="R20" i="65"/>
  <c r="Y50" i="65"/>
  <c r="W50" i="65"/>
  <c r="Q50" i="65"/>
  <c r="O50" i="65"/>
  <c r="G50" i="65"/>
  <c r="E50" i="65"/>
  <c r="C50" i="65"/>
  <c r="AA49" i="65"/>
  <c r="AA48" i="65"/>
  <c r="AA47" i="65"/>
  <c r="AA46" i="65"/>
  <c r="AA45" i="65"/>
  <c r="AA44" i="65"/>
  <c r="S50" i="65"/>
  <c r="H147" i="65"/>
  <c r="AA43" i="65"/>
  <c r="AA42" i="65"/>
  <c r="AA41" i="65"/>
  <c r="AA40" i="65"/>
  <c r="X50" i="65"/>
  <c r="V50" i="65"/>
  <c r="T50" i="65"/>
  <c r="P50" i="65"/>
  <c r="L50" i="65"/>
  <c r="H50" i="65"/>
  <c r="R50" i="65"/>
  <c r="N50" i="65"/>
  <c r="M50" i="65"/>
  <c r="K50" i="65"/>
  <c r="J50" i="65"/>
  <c r="AA37" i="65"/>
  <c r="Y36" i="65"/>
  <c r="AA35" i="65"/>
  <c r="AA34" i="65"/>
  <c r="AA33" i="65"/>
  <c r="AA32" i="65"/>
  <c r="U36" i="65"/>
  <c r="S36" i="65"/>
  <c r="O36" i="65"/>
  <c r="G36" i="65"/>
  <c r="W36" i="65"/>
  <c r="X36" i="65"/>
  <c r="V36" i="65"/>
  <c r="T36" i="65"/>
  <c r="R36" i="65"/>
  <c r="Q36" i="65"/>
  <c r="P36" i="65"/>
  <c r="N36" i="65"/>
  <c r="L36" i="65"/>
  <c r="J36" i="65"/>
  <c r="H36" i="65"/>
  <c r="AA27" i="65"/>
  <c r="Y26" i="65"/>
  <c r="W26" i="65"/>
  <c r="U26" i="65"/>
  <c r="S26" i="65"/>
  <c r="Q26" i="65"/>
  <c r="P26" i="65"/>
  <c r="O26" i="65"/>
  <c r="N26" i="65"/>
  <c r="L26" i="65"/>
  <c r="K26" i="65"/>
  <c r="J26" i="65"/>
  <c r="H26" i="65"/>
  <c r="G26" i="65"/>
  <c r="F26" i="65"/>
  <c r="E26" i="65"/>
  <c r="C26" i="65"/>
  <c r="AA24" i="65"/>
  <c r="V26" i="65"/>
  <c r="AA23" i="65"/>
  <c r="AA22" i="65"/>
  <c r="X26" i="65"/>
  <c r="T26" i="65"/>
  <c r="R26" i="65"/>
  <c r="AA21" i="65"/>
  <c r="Y20" i="65"/>
  <c r="U20" i="65"/>
  <c r="Q20" i="65"/>
  <c r="O20" i="65"/>
  <c r="M20" i="65"/>
  <c r="K20" i="65"/>
  <c r="I20" i="65"/>
  <c r="G20" i="65"/>
  <c r="E20" i="65"/>
  <c r="AA19" i="65"/>
  <c r="AA18" i="65"/>
  <c r="AA16" i="65"/>
  <c r="X20" i="65"/>
  <c r="AA15" i="65"/>
  <c r="V20" i="65"/>
  <c r="T20" i="65"/>
  <c r="P20" i="65"/>
  <c r="N20" i="65"/>
  <c r="L20" i="65"/>
  <c r="J20" i="65"/>
  <c r="H20" i="65"/>
  <c r="F20" i="65"/>
  <c r="D20" i="65"/>
  <c r="Y13" i="65"/>
  <c r="W13" i="65"/>
  <c r="U13" i="65"/>
  <c r="S13" i="65"/>
  <c r="Q13" i="65"/>
  <c r="O13" i="65"/>
  <c r="N13" i="65"/>
  <c r="M13" i="65"/>
  <c r="K13" i="65"/>
  <c r="G13" i="65"/>
  <c r="E13" i="65"/>
  <c r="C13" i="65"/>
  <c r="AA12" i="65"/>
  <c r="F13" i="65"/>
  <c r="X13" i="65"/>
  <c r="V13" i="65"/>
  <c r="T13" i="65"/>
  <c r="R13" i="65"/>
  <c r="P13" i="65"/>
  <c r="L13" i="65"/>
  <c r="J13" i="65"/>
  <c r="H13" i="65"/>
  <c r="AA10" i="65"/>
  <c r="Z10" i="65"/>
  <c r="Y9" i="65"/>
  <c r="W9" i="65"/>
  <c r="U9" i="65"/>
  <c r="M9" i="65"/>
  <c r="K9" i="65"/>
  <c r="E9" i="65"/>
  <c r="C9" i="65"/>
  <c r="S9" i="65"/>
  <c r="Q9" i="65"/>
  <c r="AA7" i="65"/>
  <c r="AA5" i="65"/>
  <c r="AD4" i="65"/>
  <c r="AA4" i="65"/>
  <c r="AD3" i="65"/>
  <c r="AD5" i="65" s="1"/>
  <c r="AA3" i="65"/>
  <c r="L9" i="65"/>
  <c r="J9" i="65"/>
  <c r="H9" i="65"/>
  <c r="S51" i="65" l="1"/>
  <c r="D50" i="65"/>
  <c r="AA29" i="65"/>
  <c r="Y39" i="68"/>
  <c r="S54" i="68"/>
  <c r="Z37" i="68"/>
  <c r="Z32" i="68"/>
  <c r="AA32" i="68"/>
  <c r="Z51" i="68"/>
  <c r="Z4" i="68"/>
  <c r="X39" i="68"/>
  <c r="Z35" i="68"/>
  <c r="P53" i="68"/>
  <c r="Z46" i="68"/>
  <c r="L39" i="68"/>
  <c r="Z8" i="68"/>
  <c r="N39" i="68"/>
  <c r="G39" i="68"/>
  <c r="J53" i="68"/>
  <c r="AA46" i="68"/>
  <c r="D9" i="68"/>
  <c r="P39" i="68"/>
  <c r="K53" i="68"/>
  <c r="F9" i="68"/>
  <c r="T13" i="68"/>
  <c r="X29" i="68"/>
  <c r="Q39" i="68"/>
  <c r="Q54" i="68" s="1"/>
  <c r="H53" i="68"/>
  <c r="V53" i="68"/>
  <c r="Z47" i="68"/>
  <c r="Z52" i="68"/>
  <c r="T53" i="68"/>
  <c r="H9" i="68"/>
  <c r="Z7" i="68"/>
  <c r="V13" i="68"/>
  <c r="R39" i="68"/>
  <c r="W39" i="68"/>
  <c r="W54" i="68" s="1"/>
  <c r="O39" i="68"/>
  <c r="AA36" i="68"/>
  <c r="N53" i="68"/>
  <c r="X53" i="68"/>
  <c r="E164" i="37"/>
  <c r="C291" i="37"/>
  <c r="B9" i="68"/>
  <c r="Z3" i="68"/>
  <c r="N5" i="68"/>
  <c r="I9" i="68"/>
  <c r="AA6" i="68"/>
  <c r="O9" i="68"/>
  <c r="AA8" i="68"/>
  <c r="AA9" i="68"/>
  <c r="B13" i="68"/>
  <c r="Z11" i="68"/>
  <c r="I13" i="68"/>
  <c r="AA11" i="68"/>
  <c r="D13" i="68"/>
  <c r="Z12" i="68"/>
  <c r="AA13" i="68"/>
  <c r="B23" i="68"/>
  <c r="Z23" i="68" s="1"/>
  <c r="Z15" i="68"/>
  <c r="B29" i="68"/>
  <c r="Z25" i="68"/>
  <c r="I34" i="68"/>
  <c r="I39" i="68" s="1"/>
  <c r="I29" i="68"/>
  <c r="AA29" i="68" s="1"/>
  <c r="AA28" i="68"/>
  <c r="M33" i="68"/>
  <c r="M39" i="68" s="1"/>
  <c r="M29" i="68"/>
  <c r="B39" i="68"/>
  <c r="Z31" i="68"/>
  <c r="K39" i="68"/>
  <c r="K54" i="68" s="1"/>
  <c r="AA31" i="68"/>
  <c r="C39" i="68"/>
  <c r="C54" i="68" s="1"/>
  <c r="AA33" i="68"/>
  <c r="F53" i="68"/>
  <c r="Z41" i="68"/>
  <c r="I53" i="68"/>
  <c r="AA53" i="68" s="1"/>
  <c r="AA41" i="68"/>
  <c r="J54" i="68"/>
  <c r="M54" i="68"/>
  <c r="Y54" i="68"/>
  <c r="B53" i="68"/>
  <c r="Z42" i="68"/>
  <c r="D54" i="68"/>
  <c r="H54" i="68"/>
  <c r="L54" i="68"/>
  <c r="U53" i="68"/>
  <c r="U54" i="68" s="1"/>
  <c r="AA42" i="68"/>
  <c r="E54" i="68"/>
  <c r="G54" i="68"/>
  <c r="O54" i="68"/>
  <c r="Z26" i="65"/>
  <c r="E124" i="4"/>
  <c r="H124" i="4"/>
  <c r="K124" i="4"/>
  <c r="N124" i="4"/>
  <c r="Q124" i="4"/>
  <c r="T124" i="4"/>
  <c r="W124" i="4"/>
  <c r="Z3" i="65"/>
  <c r="I9" i="65"/>
  <c r="AA9" i="65" s="1"/>
  <c r="AA6" i="65"/>
  <c r="O9" i="65"/>
  <c r="O51" i="65" s="1"/>
  <c r="AA8" i="65"/>
  <c r="B13" i="65"/>
  <c r="Z11" i="65"/>
  <c r="I13" i="65"/>
  <c r="AA11" i="65"/>
  <c r="D13" i="65"/>
  <c r="Z12" i="65"/>
  <c r="AA13" i="65"/>
  <c r="Z20" i="65"/>
  <c r="I26" i="65"/>
  <c r="AA26" i="65" s="1"/>
  <c r="M36" i="65"/>
  <c r="M51" i="65" s="1"/>
  <c r="M26" i="65"/>
  <c r="K36" i="65"/>
  <c r="AA28" i="65"/>
  <c r="C36" i="65"/>
  <c r="AA30" i="65"/>
  <c r="I36" i="65"/>
  <c r="AA31" i="65"/>
  <c r="F50" i="65"/>
  <c r="F51" i="65" s="1"/>
  <c r="I50" i="65"/>
  <c r="AA38" i="65"/>
  <c r="J51" i="65"/>
  <c r="K51" i="65"/>
  <c r="B50" i="65"/>
  <c r="H51" i="65"/>
  <c r="L51" i="65"/>
  <c r="U50" i="65"/>
  <c r="U51" i="65" s="1"/>
  <c r="AA39" i="65"/>
  <c r="C51" i="65"/>
  <c r="E51" i="65"/>
  <c r="G51" i="65"/>
  <c r="Q51" i="65"/>
  <c r="W51" i="65"/>
  <c r="Y51" i="65"/>
  <c r="Z50" i="65" l="1"/>
  <c r="F54" i="68"/>
  <c r="Z39" i="68"/>
  <c r="Z29" i="68"/>
  <c r="AA34" i="68"/>
  <c r="I54" i="68"/>
  <c r="I56" i="68" s="1"/>
  <c r="AB8" i="68"/>
  <c r="AC8" i="68" s="1"/>
  <c r="AA54" i="68"/>
  <c r="M56" i="68"/>
  <c r="L55" i="68"/>
  <c r="E56" i="68"/>
  <c r="D55" i="68"/>
  <c r="B54" i="68"/>
  <c r="Z53" i="68"/>
  <c r="K56" i="68"/>
  <c r="J55" i="68"/>
  <c r="G56" i="68"/>
  <c r="F55" i="68"/>
  <c r="AA39" i="68"/>
  <c r="AB39" i="68"/>
  <c r="Z13" i="68"/>
  <c r="P5" i="68"/>
  <c r="N9" i="68"/>
  <c r="N54" i="68" s="1"/>
  <c r="I51" i="65"/>
  <c r="AA51" i="65" s="1"/>
  <c r="AA50" i="65"/>
  <c r="AA36" i="65"/>
  <c r="Z13" i="65"/>
  <c r="N9" i="65"/>
  <c r="H55" i="68" l="1"/>
  <c r="O56" i="68"/>
  <c r="N55" i="68"/>
  <c r="R5" i="68"/>
  <c r="P9" i="68"/>
  <c r="C56" i="68"/>
  <c r="B55" i="68"/>
  <c r="N51" i="65"/>
  <c r="P9" i="65"/>
  <c r="P54" i="68" l="1"/>
  <c r="T5" i="68"/>
  <c r="R9" i="68"/>
  <c r="P51" i="65"/>
  <c r="R9" i="65"/>
  <c r="R54" i="68" l="1"/>
  <c r="V5" i="68"/>
  <c r="T9" i="68"/>
  <c r="Q56" i="68"/>
  <c r="P55" i="68"/>
  <c r="R51" i="65"/>
  <c r="T9" i="65"/>
  <c r="T54" i="68" l="1"/>
  <c r="X5" i="68"/>
  <c r="X9" i="68" s="1"/>
  <c r="X54" i="68" s="1"/>
  <c r="V9" i="68"/>
  <c r="Z5" i="68"/>
  <c r="S56" i="68"/>
  <c r="R55" i="68"/>
  <c r="T51" i="65"/>
  <c r="X9" i="65"/>
  <c r="X51" i="65" s="1"/>
  <c r="V9" i="65"/>
  <c r="V54" i="68" l="1"/>
  <c r="Z9" i="68"/>
  <c r="Y56" i="68"/>
  <c r="X55" i="68"/>
  <c r="U56" i="68"/>
  <c r="T55" i="68"/>
  <c r="Z54" i="68"/>
  <c r="Z55" i="68" s="1"/>
  <c r="AB55" i="68" s="1"/>
  <c r="AC55" i="68" s="1"/>
  <c r="V51" i="65"/>
  <c r="Y53" i="65"/>
  <c r="X52" i="65"/>
  <c r="W56" i="68" l="1"/>
  <c r="AB56" i="68" s="1"/>
  <c r="V55" i="68"/>
  <c r="W53" i="65"/>
  <c r="V52" i="65"/>
  <c r="E9" i="16" l="1"/>
  <c r="I53" i="65" l="1"/>
  <c r="H52" i="65"/>
  <c r="W88" i="4" l="1"/>
  <c r="D137" i="37"/>
  <c r="C117" i="37"/>
  <c r="E6" i="16" l="1"/>
  <c r="D59" i="37" l="1"/>
  <c r="C59" i="37"/>
  <c r="E60" i="37" l="1"/>
  <c r="E17" i="16"/>
  <c r="E16" i="16" l="1"/>
  <c r="E15" i="16" l="1"/>
  <c r="U53" i="65" l="1"/>
  <c r="T52" i="65"/>
  <c r="E14" i="16" l="1"/>
  <c r="E13" i="16" l="1"/>
  <c r="S53" i="65" l="1"/>
  <c r="R52" i="65"/>
  <c r="Q53" i="65" l="1"/>
  <c r="P52" i="65"/>
  <c r="E12" i="16" l="1"/>
  <c r="O53" i="65" l="1"/>
  <c r="N52" i="65"/>
  <c r="E11" i="16"/>
  <c r="M53" i="65" l="1"/>
  <c r="L52" i="65"/>
  <c r="E10" i="16"/>
  <c r="K53" i="65" l="1"/>
  <c r="J52" i="65"/>
  <c r="E8" i="16" l="1"/>
  <c r="G53" i="65" l="1"/>
  <c r="F52" i="65"/>
  <c r="E7" i="16" l="1"/>
  <c r="T70" i="4" l="1"/>
  <c r="W71" i="4" l="1"/>
  <c r="W70" i="4"/>
  <c r="H70" i="4"/>
  <c r="K70" i="4"/>
  <c r="B70" i="4"/>
  <c r="T71" i="4"/>
  <c r="E70" i="4"/>
  <c r="Q71" i="4"/>
  <c r="N70" i="4"/>
  <c r="Q70" i="4"/>
  <c r="N71" i="4"/>
  <c r="K71" i="4"/>
  <c r="H71" i="4"/>
  <c r="E71" i="4"/>
  <c r="B71" i="4"/>
  <c r="H88" i="4" l="1"/>
  <c r="H87" i="4"/>
  <c r="D117" i="37" l="1"/>
  <c r="B112" i="4" s="1"/>
  <c r="B125" i="4" l="1"/>
  <c r="B124" i="4"/>
  <c r="B9" i="65"/>
  <c r="E118" i="37"/>
  <c r="E87" i="4"/>
  <c r="E88" i="4"/>
  <c r="N88" i="4"/>
  <c r="N87" i="4"/>
  <c r="T88" i="4"/>
  <c r="T87" i="4"/>
  <c r="K87" i="4"/>
  <c r="K88" i="4"/>
  <c r="Q88" i="4"/>
  <c r="Q87" i="4"/>
  <c r="W87" i="4"/>
  <c r="B36" i="65" l="1"/>
  <c r="B51" i="65" l="1"/>
  <c r="B52" i="65" s="1"/>
  <c r="C53" i="65" l="1"/>
  <c r="Z52" i="4" l="1"/>
  <c r="D9" i="65" l="1"/>
  <c r="Z9" i="65" l="1"/>
  <c r="D36" i="65" l="1"/>
  <c r="W53" i="4"/>
  <c r="T53" i="4"/>
  <c r="Q53" i="4"/>
  <c r="N53" i="4"/>
  <c r="K53" i="4"/>
  <c r="H53" i="4"/>
  <c r="E53" i="4"/>
  <c r="B53" i="4"/>
  <c r="K11" i="4"/>
  <c r="Q9" i="4"/>
  <c r="Q8" i="4"/>
  <c r="Q7" i="4"/>
  <c r="Z36" i="65" l="1"/>
  <c r="D51" i="65"/>
  <c r="Q16" i="4"/>
  <c r="Q17" i="4" s="1"/>
  <c r="E16" i="4"/>
  <c r="E17" i="4" s="1"/>
  <c r="B16" i="4"/>
  <c r="B17" i="4" s="1"/>
  <c r="K34" i="4"/>
  <c r="K35" i="4" s="1"/>
  <c r="H16" i="4"/>
  <c r="H17" i="4" s="1"/>
  <c r="Q34" i="4"/>
  <c r="Q35" i="4" s="1"/>
  <c r="K16" i="4"/>
  <c r="K17" i="4" s="1"/>
  <c r="T16" i="4"/>
  <c r="T17" i="4" s="1"/>
  <c r="T34" i="4"/>
  <c r="T35" i="4" s="1"/>
  <c r="N16" i="4"/>
  <c r="N17" i="4" s="1"/>
  <c r="B34" i="4"/>
  <c r="B35" i="4" s="1"/>
  <c r="N34" i="4"/>
  <c r="N35" i="4" s="1"/>
  <c r="E34" i="4"/>
  <c r="E35" i="4" s="1"/>
  <c r="H34" i="4"/>
  <c r="H35" i="4" s="1"/>
  <c r="W52" i="4"/>
  <c r="T52" i="4"/>
  <c r="B52" i="4"/>
  <c r="E52" i="4"/>
  <c r="H52" i="4"/>
  <c r="K52" i="4"/>
  <c r="N52" i="4"/>
  <c r="Q52" i="4"/>
  <c r="E53" i="65" l="1"/>
  <c r="AB53" i="65" s="1"/>
  <c r="D52" i="65"/>
  <c r="Z51" i="65"/>
  <c r="Z52" i="65" s="1"/>
  <c r="AB52" i="65" s="1"/>
  <c r="B88" i="4"/>
  <c r="B87" i="4"/>
  <c r="S23" i="68"/>
  <c r="AA23" i="68"/>
  <c r="S20" i="65"/>
  <c r="AA20" i="65"/>
</calcChain>
</file>

<file path=xl/comments1.xml><?xml version="1.0" encoding="utf-8"?>
<comments xmlns="http://schemas.openxmlformats.org/spreadsheetml/2006/main">
  <authors>
    <author>Maria Guaicara</author>
    <author>Varinia Lara</author>
    <author>Antonia Caceres</author>
    <author>Madelin Nepomuceno</author>
  </authors>
  <commentList>
    <comment ref="B40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RD$7,200.00 Frozen Fresh</t>
        </r>
      </text>
    </comment>
    <comment ref="Q40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28/01 Planta y maceta Plantópolis RD$6,602.00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RD$7,200.00 Frozen Fresh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RD$300.00 Propinas supermercado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RD$400.00 efectivo Salón</t>
        </r>
      </text>
    </comment>
    <comment ref="Q42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RD$1,690.00 Plantópolis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04/04 Frozen Fresh RD$7,200.00</t>
        </r>
      </text>
    </comment>
    <comment ref="Q43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20/04 Compra de flores RD$4,550.00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09/05 Frozen Fresh RD$8,100.00
24/05 Frozen Fresh RD$2,970.00</t>
        </r>
      </text>
    </comment>
    <comment ref="B45" authorId="0" shapeId="0">
      <text>
        <r>
          <rPr>
            <b/>
            <sz val="9"/>
            <color rgb="FF000000"/>
            <rFont val="Tahoma"/>
            <family val="2"/>
          </rPr>
          <t>Maria Guaicara: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21/06 Frozen Fresh RD$8,300.00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Maria Guaicara:</t>
        </r>
        <r>
          <rPr>
            <sz val="9"/>
            <color indexed="81"/>
            <rFont val="Tahoma"/>
            <family val="2"/>
          </rPr>
          <t xml:space="preserve">
18/08 Frozen Fresh RD$7,700.00</t>
        </r>
      </text>
    </comment>
    <comment ref="B49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10/10 Frozen Fresh RD$7,900.00
17/10 propina RD$100.00
19/10 propina RD$50.00
</t>
        </r>
      </text>
    </comment>
    <comment ref="E49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17/10 Efectivo Salón RD$ 1000.00</t>
        </r>
      </text>
    </comment>
    <comment ref="Q49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pago x transferencia 10/09 RD$3,200.00
</t>
        </r>
      </text>
    </comment>
    <comment ref="B50" authorId="1" shapeId="0">
      <text>
        <r>
          <rPr>
            <b/>
            <sz val="9"/>
            <color indexed="81"/>
            <rFont val="Tahoma"/>
            <family val="2"/>
          </rPr>
          <t xml:space="preserve">Varinia Lara:
</t>
        </r>
        <r>
          <rPr>
            <sz val="9"/>
            <color indexed="81"/>
            <rFont val="Tahoma"/>
            <family val="2"/>
          </rPr>
          <t>02/11 propina RD$50.00
28/11 Frozen Fresh RD$7,900.00
28/11 propina RD$150.00</t>
        </r>
      </text>
    </comment>
    <comment ref="B51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01/12 propina RD$100.00</t>
        </r>
      </text>
    </comment>
    <comment ref="Q51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1/12 limpieza de florero RD$100.00
22/11 Reembolso a Eduard RD$1,778.00</t>
        </r>
      </text>
    </comment>
    <comment ref="B58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16/1 Frozen fresh RD$8,400.00</t>
        </r>
      </text>
    </comment>
    <comment ref="Q58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10/01 flores oficina AMCR RD$ 450.00</t>
        </r>
      </text>
    </comment>
    <comment ref="B59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21/2 Frozen fresh RD$8,400.00</t>
        </r>
      </text>
    </comment>
    <comment ref="B61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14/4 Frozen fresh, 20 uds. salmón RD$8,400.00</t>
        </r>
      </text>
    </comment>
    <comment ref="Q61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12/4 Flores oficina AMCR RD$360.00</t>
        </r>
      </text>
    </comment>
    <comment ref="B62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18/5 Frozen fresh RD$9,000.00</t>
        </r>
      </text>
    </comment>
    <comment ref="Q62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02/5 Flores oficina AMCR RD$400.00</t>
        </r>
      </text>
    </comment>
    <comment ref="Q63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12/6 Flores AMCR</t>
        </r>
      </text>
    </comment>
    <comment ref="B64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17/7 Frozen Fresh RD$9,000.00</t>
        </r>
      </text>
    </comment>
    <comment ref="B65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15/8 SM BRAVO CON EFECTIVO AMCR RD$465.00
22/8 FROZEN FRESH RD$8,
</t>
        </r>
      </text>
    </comment>
    <comment ref="T65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 regalo padres javi y tato incluido.
</t>
        </r>
      </text>
    </comment>
    <comment ref="B66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19/9 Frozen Fresh RD$8,640.00 (18 uds. salmón)</t>
        </r>
      </text>
    </comment>
    <comment ref="K66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18/9 Pago cena AMCR Y JMPP (Morito) RD$11,390.00</t>
        </r>
      </text>
    </comment>
    <comment ref="B67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13/10 20 uds. salmón RD$9,600.00</t>
        </r>
      </text>
    </comment>
    <comment ref="B68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FF RD$10,900.00</t>
        </r>
      </text>
    </comment>
    <comment ref="E68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29/11 Pago vía transferencia servicio de secado RD$750.00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13/12 FF RD$9,600.00</t>
        </r>
      </text>
    </comment>
    <comment ref="B75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17/1 SM LA SIRENA RD$1,729.00</t>
        </r>
      </text>
    </comment>
    <comment ref="B76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15/2 10 uds. Salmón y 5 uds. atún RD$9,900.00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3/04 20 uds. de salmón y 15 de atún RD$15,350.00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5/6 20 uds. Salmon. RD$11,000.00</t>
        </r>
      </text>
    </comment>
    <comment ref="H80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12/6 Pago estado de cuenta BM Cargo AMCR RD$12,868.86</t>
        </r>
      </text>
    </comment>
    <comment ref="H81" authorId="2" shapeId="0">
      <text>
        <r>
          <rPr>
            <sz val="11"/>
            <color theme="1"/>
            <rFont val="Calibri"/>
            <family val="2"/>
            <scheme val="minor"/>
          </rPr>
          <t xml:space="preserve">Antonia Caceres:
15/07 mes de julio 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19/8 Frozen fresh RD$11,000.00</t>
        </r>
      </text>
    </comment>
    <comment ref="H82" authorId="1" shapeId="0">
      <text>
        <r>
          <rPr>
            <b/>
            <sz val="9"/>
            <color indexed="81"/>
            <rFont val="Tahoma"/>
            <family val="2"/>
          </rPr>
          <t>Varinia Lara:</t>
        </r>
        <r>
          <rPr>
            <sz val="9"/>
            <color indexed="81"/>
            <rFont val="Tahoma"/>
            <family val="2"/>
          </rPr>
          <t xml:space="preserve">
20/8 Pago balance BM Cargo RD$ 15,167.57</t>
        </r>
      </text>
    </comment>
    <comment ref="B83" authorId="2" shapeId="0">
      <text>
        <r>
          <rPr>
            <sz val="11"/>
            <color theme="1"/>
            <rFont val="Calibri"/>
            <family val="2"/>
            <scheme val="minor"/>
          </rPr>
          <t>Antonia Caceres:
11/09 Compra 20 uds $11,400</t>
        </r>
      </text>
    </comment>
    <comment ref="H83" authorId="2" shapeId="0">
      <text>
        <r>
          <rPr>
            <sz val="11"/>
            <color theme="1"/>
            <rFont val="Calibri"/>
            <family val="2"/>
            <scheme val="minor"/>
          </rPr>
          <t>Antonia Caceres:
pagado por transferencia 17/09</t>
        </r>
      </text>
    </comment>
    <comment ref="B84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24/10 Frozen Fresh $11,400.00</t>
        </r>
      </text>
    </comment>
    <comment ref="H84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15/10 pagado x transferencia
</t>
        </r>
      </text>
    </comment>
    <comment ref="Q84" authorId="2" shapeId="0">
      <text>
        <r>
          <rPr>
            <sz val="11"/>
            <color theme="1"/>
            <rFont val="Calibri"/>
            <family val="2"/>
            <scheme val="minor"/>
          </rPr>
          <t>Antonia Caceres:
16/10 compra anturios $1,000.00</t>
        </r>
      </text>
    </comment>
    <comment ref="H85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15/11 pagado via transferencia </t>
        </r>
      </text>
    </comment>
    <comment ref="Q85" authorId="2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1/11 compra anturios $1,000
18/11 compra anturios $1,000
25/11 compra anturios $1,000</t>
        </r>
      </text>
    </comment>
    <comment ref="B86" authorId="2" shapeId="0">
      <text>
        <r>
          <rPr>
            <sz val="11"/>
            <color theme="1"/>
            <rFont val="Calibri"/>
            <family val="2"/>
            <scheme val="minor"/>
          </rPr>
          <t>Antonia Caceres:
11/12 Frozen Fresh $11,400</t>
        </r>
      </text>
    </comment>
    <comment ref="B93" authorId="3" shapeId="0">
      <text>
        <r>
          <rPr>
            <sz val="11"/>
            <color theme="1"/>
            <rFont val="Calibri"/>
            <family val="2"/>
            <scheme val="minor"/>
          </rPr>
          <t>Madelin Nepomuceno:
27/01 Frozen Fresh Salmon RD$11,400</t>
        </r>
      </text>
    </comment>
    <comment ref="H93" authorId="3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15/1 Pagado por transferencia BM Cargo AMCR </t>
        </r>
      </text>
    </comment>
    <comment ref="Q93" authorId="3" shapeId="0">
      <text>
        <r>
          <rPr>
            <sz val="11"/>
            <color theme="1"/>
            <rFont val="Calibri"/>
            <family val="2"/>
            <scheme val="minor"/>
          </rPr>
          <t>Madelin Nepomuceno:
13/1 compra anturios $1,000
27/1 compra anturios $1,000</t>
        </r>
      </text>
    </comment>
    <comment ref="H94" authorId="3" shapeId="0">
      <text>
        <r>
          <rPr>
            <sz val="11"/>
            <color theme="1"/>
            <rFont val="Calibri"/>
            <family val="2"/>
            <scheme val="minor"/>
          </rPr>
          <t>Madelin Nepomuceno:
15/2 Pagado por transferencia BM Cargo AMCR</t>
        </r>
      </text>
    </comment>
    <comment ref="Q94" authorId="3" shapeId="0">
      <text>
        <r>
          <rPr>
            <sz val="11"/>
            <color theme="1"/>
            <rFont val="Calibri"/>
            <family val="2"/>
            <scheme val="minor"/>
          </rPr>
          <t>Madelin Nepomuceno:
11/2 Compra anturios RD$1,000
25/2 Compra anturios RD$1,000</t>
        </r>
      </text>
    </comment>
    <comment ref="H95" authorId="3" shapeId="0">
      <text>
        <r>
          <rPr>
            <sz val="11"/>
            <color theme="1"/>
            <rFont val="Calibri"/>
            <family val="2"/>
            <scheme val="minor"/>
          </rPr>
          <t>Madelin Nepomuceno:
13/3 Pagado por transferencia BM Cargo AMCR</t>
        </r>
      </text>
    </comment>
    <comment ref="Q95" authorId="3" shapeId="0">
      <text>
        <r>
          <rPr>
            <sz val="11"/>
            <color theme="1"/>
            <rFont val="Calibri"/>
            <family val="2"/>
            <scheme val="minor"/>
          </rPr>
          <t>Madelin Nepomuceno:
25/3 Compra anturios RD$1,000</t>
        </r>
      </text>
    </comment>
    <comment ref="B96" authorId="3" shapeId="0">
      <text>
        <r>
          <rPr>
            <sz val="11"/>
            <color theme="1"/>
            <rFont val="Calibri"/>
            <family val="2"/>
            <scheme val="minor"/>
          </rPr>
          <t>Madelin Nepomuceno:
01/04 Frozen Fresh Salmon RD$11,400</t>
        </r>
      </text>
    </comment>
    <comment ref="H96" authorId="3" shapeId="0">
      <text>
        <r>
          <rPr>
            <sz val="11"/>
            <color theme="1"/>
            <rFont val="Calibri"/>
            <family val="2"/>
            <scheme val="minor"/>
          </rPr>
          <t>Madelin Nepomuceno:
15/4 Pagado por transferencia BM Cargo AMCR</t>
        </r>
      </text>
    </comment>
    <comment ref="Q96" authorId="3" shapeId="0">
      <text>
        <r>
          <rPr>
            <sz val="11"/>
            <color theme="1"/>
            <rFont val="Calibri"/>
            <family val="2"/>
            <scheme val="minor"/>
          </rPr>
          <t>Madelin Nepomuceno:
01/04 Compra anturios RD$1,000
29/04 Compra anturios RD$1,000</t>
        </r>
      </text>
    </comment>
    <comment ref="B97" authorId="3" shapeId="0">
      <text>
        <r>
          <rPr>
            <sz val="11"/>
            <color theme="1"/>
            <rFont val="Calibri"/>
            <family val="2"/>
            <scheme val="minor"/>
          </rPr>
          <t>Madelin Nepomuceno:
21.05 Pago Frozen Fresh Salmon RD$11,600</t>
        </r>
      </text>
    </comment>
    <comment ref="H97" authorId="3" shapeId="0">
      <text>
        <r>
          <rPr>
            <sz val="11"/>
            <color theme="1"/>
            <rFont val="Calibri"/>
            <family val="2"/>
            <scheme val="minor"/>
          </rPr>
          <t>Madelin Nepomuceno:
14/5 Pagado por transferencia BM Cargo AMCR</t>
        </r>
      </text>
    </comment>
    <comment ref="Q97" authorId="3" shapeId="0">
      <text>
        <r>
          <rPr>
            <sz val="11"/>
            <color theme="1"/>
            <rFont val="Calibri"/>
            <family val="2"/>
            <scheme val="minor"/>
          </rPr>
          <t>Madelin Nepomuceno:
28.05 Compra anturios RD$1,000</t>
        </r>
      </text>
    </comment>
    <comment ref="H98" authorId="3" shapeId="0">
      <text>
        <r>
          <rPr>
            <sz val="11"/>
            <color theme="1"/>
            <rFont val="Calibri"/>
            <family val="2"/>
            <scheme val="minor"/>
          </rPr>
          <t>Madelin Nepomuceno:
13/6 Pagado por transferencia BM Cargo AMCR</t>
        </r>
      </text>
    </comment>
    <comment ref="Q98" authorId="3" shapeId="0">
      <text>
        <r>
          <rPr>
            <sz val="11"/>
            <color theme="1"/>
            <rFont val="Calibri"/>
            <family val="2"/>
            <scheme val="minor"/>
          </rPr>
          <t>Madelin Nepomuceno:
13/06 Compra anturios RD$1,000</t>
        </r>
      </text>
    </comment>
    <comment ref="H99" authorId="3" shapeId="0">
      <text>
        <r>
          <rPr>
            <sz val="11"/>
            <color theme="1"/>
            <rFont val="Calibri"/>
            <family val="2"/>
            <scheme val="minor"/>
          </rPr>
          <t>Madelin Nepomuceno:
14/7 Pagado por transferencia BM Cargo AMCR</t>
        </r>
      </text>
    </comment>
    <comment ref="B100" authorId="3" shapeId="0">
      <text>
        <r>
          <rPr>
            <sz val="11"/>
            <color theme="1"/>
            <rFont val="Calibri"/>
            <family val="2"/>
            <scheme val="minor"/>
          </rPr>
          <t>Madelin Nepomuceno:
18.08 Pago frozen fresh RD$11,600</t>
        </r>
      </text>
    </comment>
    <comment ref="H100" authorId="3" shapeId="0">
      <text>
        <r>
          <rPr>
            <sz val="11"/>
            <color theme="1"/>
            <rFont val="Calibri"/>
            <family val="2"/>
            <scheme val="minor"/>
          </rPr>
          <t>Madelin Nepomuceno:
15/8 Pagado por transferencia BM Cargo AMCR</t>
        </r>
      </text>
    </comment>
    <comment ref="H101" authorId="3" shapeId="0">
      <text>
        <r>
          <rPr>
            <sz val="11"/>
            <color theme="1"/>
            <rFont val="Calibri"/>
            <family val="2"/>
            <scheme val="minor"/>
          </rPr>
          <t>Madelin Nepomuceno:
15/9 Pagado por transferencia BM Cargo AMCR</t>
        </r>
      </text>
    </comment>
    <comment ref="Q101" authorId="3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29.09 Compra anturios RD$1,200
</t>
        </r>
      </text>
    </comment>
    <comment ref="B102" authorId="3" shapeId="0">
      <text>
        <r>
          <rPr>
            <sz val="11"/>
            <color theme="1"/>
            <rFont val="Calibri"/>
            <family val="2"/>
            <scheme val="minor"/>
          </rPr>
          <t>Madelin Nepomuceno:
03.10 Pago Frozen Fresh RD$11,600</t>
        </r>
      </text>
    </comment>
    <comment ref="H102" authorId="3" shapeId="0">
      <text>
        <r>
          <rPr>
            <sz val="11"/>
            <color theme="1"/>
            <rFont val="Calibri"/>
            <family val="2"/>
            <scheme val="minor"/>
          </rPr>
          <t>Madelin Nepomuceno:
14/10 Pagado por transferencia BM Cargo AMCR</t>
        </r>
      </text>
    </comment>
    <comment ref="Q102" authorId="3" shapeId="0">
      <text>
        <r>
          <rPr>
            <sz val="11"/>
            <color theme="1"/>
            <rFont val="Calibri"/>
            <family val="2"/>
            <scheme val="minor"/>
          </rPr>
          <t>Madelin Nepomuceno:
14.10 Compra anturios RD$2,400</t>
        </r>
      </text>
    </comment>
    <comment ref="H103" authorId="3" shapeId="0">
      <text>
        <r>
          <rPr>
            <sz val="11"/>
            <color theme="1"/>
            <rFont val="Calibri"/>
            <family val="2"/>
            <scheme val="minor"/>
          </rPr>
          <t>Madelin Nepomuceno:
14/11 Pagado por transferencia BM Cargo AMCR</t>
        </r>
      </text>
    </comment>
    <comment ref="H104" authorId="3" shapeId="0">
      <text>
        <r>
          <rPr>
            <sz val="11"/>
            <color theme="1"/>
            <rFont val="Calibri"/>
            <family val="2"/>
            <scheme val="minor"/>
          </rPr>
          <t>Madelin Nepomuceno:
15/12 Pagado por transferencia BM Cargo AMCR</t>
        </r>
      </text>
    </comment>
    <comment ref="B112" authorId="3" shapeId="0">
      <text>
        <r>
          <rPr>
            <sz val="11"/>
            <color theme="1"/>
            <rFont val="Calibri"/>
            <family val="2"/>
            <scheme val="minor"/>
          </rPr>
          <t>Madelin Nepomuceno:
13.01 Pago Frozen Fresh Salmon RD$11,600</t>
        </r>
      </text>
    </comment>
  </commentList>
</comments>
</file>

<file path=xl/comments2.xml><?xml version="1.0" encoding="utf-8"?>
<comments xmlns="http://schemas.openxmlformats.org/spreadsheetml/2006/main">
  <authors>
    <author>Madelin Nepomuceno</author>
    <author>Antonia Caceres</author>
  </authors>
  <commentList>
    <comment ref="P3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21/06 Domiliación Claro</t>
        </r>
      </text>
    </comment>
    <comment ref="R3" authorId="0" shapeId="0">
      <text>
        <r>
          <rPr>
            <sz val="11"/>
            <color theme="1"/>
            <rFont val="Calibri"/>
            <family val="2"/>
            <scheme val="minor"/>
          </rPr>
          <t>Madelin Nepomuceno:
20/07 Domiliación Claro</t>
        </r>
      </text>
    </comment>
    <comment ref="T3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21/08 Domiliación Claro</t>
        </r>
      </text>
    </comment>
    <comment ref="V3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22/09 Domiliación Claro</t>
        </r>
      </text>
    </comment>
    <comment ref="X3" authorId="0" shapeId="0">
      <text>
        <r>
          <rPr>
            <sz val="11"/>
            <color theme="1"/>
            <rFont val="Calibri"/>
            <family val="2"/>
            <scheme val="minor"/>
          </rPr>
          <t>Madelin Nepomuceno:
21/10 Domiliación Claro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18/11 Edesur Domiciliacion, 2 meses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09/01 Domiciliación dic 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11/02 Domiliación Edesur ene
12/02 Domiliación Edesur parcial feb</t>
        </r>
      </text>
    </comment>
    <comment ref="H4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11/03 Domiliación Edesur parcial feb</t>
        </r>
      </text>
    </comment>
    <comment ref="J4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11/04 Domiliación Edesur Marzo.</t>
        </r>
      </text>
    </comment>
    <comment ref="L4" authorId="0" shapeId="0">
      <text>
        <r>
          <rPr>
            <sz val="11"/>
            <color theme="1"/>
            <rFont val="Calibri"/>
            <family val="2"/>
            <scheme val="minor"/>
          </rPr>
          <t>Madelin Nepomuceno:
14/05 Domiliación Edesur Abril.</t>
        </r>
      </text>
    </comment>
    <comment ref="N4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11/06 Domiliación Edesur Mayo.</t>
        </r>
      </text>
    </comment>
    <comment ref="P4" authorId="0" shapeId="0">
      <text>
        <r>
          <rPr>
            <sz val="11"/>
            <color theme="1"/>
            <rFont val="Calibri"/>
            <family val="2"/>
            <scheme val="minor"/>
          </rPr>
          <t>Madelin Nepomuceno:
10/07 Domiliación Edesur Junio.</t>
        </r>
      </text>
    </comment>
    <comment ref="R4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11/08 Domiliación Edesur Julio</t>
        </r>
      </text>
    </comment>
    <comment ref="T4" authorId="0" shapeId="0">
      <text>
        <r>
          <rPr>
            <sz val="11"/>
            <color theme="1"/>
            <rFont val="Calibri"/>
            <family val="2"/>
            <scheme val="minor"/>
          </rPr>
          <t>Madelin Nepomuceno:
09/09 Domiliación Edesur Agosto</t>
        </r>
      </text>
    </comment>
    <comment ref="V4" authorId="0" shapeId="0">
      <text>
        <r>
          <rPr>
            <sz val="11"/>
            <color theme="1"/>
            <rFont val="Calibri"/>
            <family val="2"/>
            <scheme val="minor"/>
          </rPr>
          <t>Madelin Nepomuceno:
08/10 Domiliación Edesur Sept</t>
        </r>
      </text>
    </comment>
    <comment ref="X4" authorId="0" shapeId="0">
      <text>
        <r>
          <rPr>
            <sz val="11"/>
            <color theme="1"/>
            <rFont val="Calibri"/>
            <family val="2"/>
            <scheme val="minor"/>
          </rPr>
          <t>Madelin Nepomuceno:
07.11 Domiliación Edesur Oct RD$36,751.42</t>
        </r>
      </text>
    </comment>
    <comment ref="H5" authorId="0" shapeId="0">
      <text>
        <r>
          <rPr>
            <sz val="11"/>
            <color theme="1"/>
            <rFont val="Calibri"/>
            <family val="2"/>
            <scheme val="minor"/>
          </rPr>
          <t>Madelin Nepomuceno:
01/04 Aumento de mantenimiento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13/1 compra anturios $1,000
Gas Dic 24
2da cuota extraordinaria mantenimiento
27/1 compra anturios $1,000
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Enero25 RD$6,152.64
11/2 Compra anturios RD$1,000
25/2 Compra anturios RD$1,000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Feb25 RD$6,908.46
25/3 Compra anturios RD$1,000</t>
        </r>
      </text>
    </comment>
    <comment ref="H6" authorId="0" shapeId="0">
      <text>
        <r>
          <rPr>
            <sz val="11"/>
            <color theme="1"/>
            <rFont val="Calibri"/>
            <family val="2"/>
            <scheme val="minor"/>
          </rPr>
          <t>Madelin Nepomuceno:
01/04 Compra anturios RD$1,000
Gas Marzo25 RD$6,828.90
29/04 Compra anturios RD$1,000</t>
        </r>
      </text>
    </comment>
    <comment ref="I6" authorId="0" shapeId="0">
      <text>
        <r>
          <rPr>
            <sz val="11"/>
            <color theme="1"/>
            <rFont val="Calibri"/>
            <family val="2"/>
            <scheme val="minor"/>
          </rPr>
          <t>Madelin Nepomuceno:
10.04 Pago reparación internet oct24</t>
        </r>
      </text>
    </comment>
    <comment ref="J6" authorId="0" shapeId="0">
      <text>
        <r>
          <rPr>
            <sz val="11"/>
            <color theme="1"/>
            <rFont val="Calibri"/>
            <family val="2"/>
            <scheme val="minor"/>
          </rPr>
          <t>Madelin Nepomuceno:
01.05 Agente de aduana-pisos AMCR RD$6,500
Gas Abril25 RD$5,648.76
12.05 Pago arreglo lavadora y secadora RD$19,300
28.05 Compra anturios RD$1,000</t>
        </r>
      </text>
    </comment>
    <comment ref="L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Mayo25 RD$6,364.80
13/06 Compra anturios RD$1,000</t>
        </r>
      </text>
    </comment>
    <comment ref="N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Junio25 RD$5,144.88</t>
        </r>
      </text>
    </comment>
    <comment ref="P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Gas Julio25 RD$2,559.18
Cuota 13 RD$31,200
20/08 Efectivo aduanas pisos RD$1,555
29/08 Reembolso a CA por cheque a aduanas pisos RD$5,906.25
29/08 certificar cheque RD$700
</t>
        </r>
      </text>
    </comment>
    <comment ref="R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Agosto25 RD$7,034.31
02.09 Pago depositos logisticos piso RD$16,430.25
29.09 Compra anturios RD$1,200</t>
        </r>
      </text>
    </comment>
    <comment ref="T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Gas Sept25 RD$5,859.83
11/09 Ikea Sab RD$10,130
12/09 Pricesmart Colchones RD$9,590
14.10 Compra anturios RD$2,400
</t>
        </r>
      </text>
    </comment>
    <comment ref="V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Oct25 RD$6,830.12</t>
        </r>
      </text>
    </comment>
    <comment ref="X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Gas Oct25 RD$5,785.12
02.12 Limpieza Cortinas RD$15,000
02.12 Mantenimiento aires RD$38,940
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Madelin Nepomuceno:
27/01 Frozen Fresh Salmon RD$11,400</t>
        </r>
      </text>
    </comment>
    <comment ref="H7" authorId="0" shapeId="0">
      <text>
        <r>
          <rPr>
            <sz val="11"/>
            <color theme="1"/>
            <rFont val="Calibri"/>
            <family val="2"/>
            <scheme val="minor"/>
          </rPr>
          <t>Madelin Nepomuceno:
01/04 Frozen Fresh Salmon RD$11,400</t>
        </r>
      </text>
    </comment>
    <comment ref="J7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21.05 Pago Frozen Fresh Salmon RD$11,600
</t>
        </r>
      </text>
    </comment>
    <comment ref="L7" authorId="0" shapeId="0">
      <text>
        <r>
          <rPr>
            <sz val="11"/>
            <color theme="1"/>
            <rFont val="Calibri"/>
            <family val="2"/>
            <scheme val="minor"/>
          </rPr>
          <t>Madelin Nepomuceno:
13.05 Reembolso gasto super EO RD$5,291
30.06 Compra de almuerzo RD$600
02.07 Compra de almuerzos RD$2,200
08.07 Compra de almuerzos RD$1,200</t>
        </r>
      </text>
    </comment>
    <comment ref="N7" authorId="0" shapeId="0">
      <text>
        <r>
          <rPr>
            <sz val="11"/>
            <color theme="1"/>
            <rFont val="Calibri"/>
            <family val="2"/>
            <scheme val="minor"/>
          </rPr>
          <t>Madelin Nepomuceno:
10.07 Compra de almuerzos RD$1,200
11.07 Compra de almuerzos RD$600
15.07 Compra de almuerzos RD$1,200
17.07 Compra de almuerzos RD$2,100
23.07 Almuerzos RD$3,500
28.07 Almuerzos RD$1,600</t>
        </r>
      </text>
    </comment>
    <comment ref="P7" authorId="0" shapeId="0">
      <text>
        <r>
          <rPr>
            <sz val="11"/>
            <color theme="1"/>
            <rFont val="Calibri"/>
            <family val="2"/>
            <scheme val="minor"/>
          </rPr>
          <t>Madelin Nepomuceno:
18.08 Pago Frozen Fresh RD$11,600
05.08 Almuerzos RD$3,000
06.08 Almuerzos RD$6,450
15/08 Almuerzos RD$1,500
15/08 Almuerzos RD$700
05/09 Almuerzo RD$1,200</t>
        </r>
      </text>
    </comment>
    <comment ref="T7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03.10 Pago Frozen Fresh RD$11,600 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3/5 abono a honorarios remodelacion marina silverio</t>
        </r>
      </text>
    </comment>
    <comment ref="L8" authorId="0" shapeId="0">
      <text>
        <r>
          <rPr>
            <sz val="11"/>
            <color theme="1"/>
            <rFont val="Calibri"/>
            <family val="2"/>
            <scheme val="minor"/>
          </rPr>
          <t>Madelin Nepomuceno:
21.06 Avance Remodelación PC RD$360,000.00
25.06 Avance de 70% del laundry, mueble tipo coquetera y cocina caliente RD$505,000.00
30.06 Pago parcial cerarte RD$100,000 (ceramica)
Restando:
25.06 menos venta de los muebles cuarto de juego      (RD$12,000.00)</t>
        </r>
      </text>
    </comment>
    <comment ref="N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01.07 Pago luces y remanente de Cerarte RD$37,083.86
07.07 Pago de bombilla Maria Silverio RD$3,209.60
08.07 Pago de completivo 50% Ing. RD$110,918.40
08.07 Compra de silla coqueta hab. niñas RD$15,571.79
10.07 Pago Cerarte Pegamento RD$23,418.56
12.07 Pago Cerarte Derretido Permacolor RD$7,910.31
24.07 Pago 50% limpieza colchones y alfombra RD$3,650
25.07 Reembolsos varios EMS RD$49,073.60
28.07 Pago restante limpieza colchones y alfombra RD$3,650
28.07 Pago 50% Pollito Wao RD$21,800
31.07 Pago EMS Baño servicio RD$24,065.07
Estufa RD$32,945.40
Pago Marmoleria Italtop RD$150,000.00
</t>
        </r>
      </text>
    </comment>
    <comment ref="O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Puertas estudio US$8,769.60
</t>
        </r>
      </text>
    </comment>
    <comment ref="P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13.08 Pago ikea armario y lavamanos cuarto servicio RD$15,750
13.08 Pago todoherrajes cocina fría RD$14,225
14.08 Pago restante pollito wao RD$21,800
15.08 3er abono ing RD$300,000
22.08 Saldo Italtop RD$55,163.26
22.08 Saldo Italtec RD$308,800
Restando:
07.08 menos venta de los muebles sala RD$50,000.00
</t>
        </r>
      </text>
    </comment>
    <comment ref="Q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25.08 Pago envio camas hab. niñas $580
28.08 Abono closet hab. niñas $2,522.14
Pago cama hab. niñas US$3,871.26
</t>
        </r>
      </text>
    </comment>
    <comment ref="R8" authorId="0" shapeId="0">
      <text>
        <r>
          <rPr>
            <sz val="11"/>
            <color theme="1"/>
            <rFont val="Calibri"/>
            <family val="2"/>
            <scheme val="minor"/>
          </rPr>
          <t>Madelin Nepomuceno:
16.07 Compra de espejo Badeco RD$17,061.03
11.08 Tessuti Telas cortinas hab niñas RD$60,255
21.08 Molina Extractor RD$31,339.04
11.09 Pago cortinas, barra e instalación hab. niñas RD$62,700
11.09 Pago instalaciones varias RD$12,000
15.09 Pago EMS RD$520,157.50 abono varios
18.09 Saldo Ing RD$324,080.66
Restando:
01.09 menos venta de lavadora-secadora RD$10,000</t>
        </r>
      </text>
    </comment>
    <comment ref="S8" authorId="1" shapeId="0">
      <text>
        <r>
          <rPr>
            <sz val="11"/>
            <color theme="1"/>
            <rFont val="Calibri"/>
            <family val="2"/>
            <scheme val="minor"/>
          </rPr>
          <t>Antonia Caceres:
03.09.2025 - segundo abono Marina Silverio $8,750.00
26.08 Lampara Hab. niñas $310.63
27.08 Art Light remodelación hab. niñas US$36.99
27.08 Tiradores coqueta remodelación hab. niñas US$52.49</t>
        </r>
      </text>
    </comment>
    <comment ref="T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20.08 Lavadora y secadora RD$101,990
23.08 Abono muebles RD$400,000
23.08 Cuadro hab niñas RD$37,993.92
28.08 Letto y casa sab hab niñas RD$59,315.26
08.09 Ilumel mesitas de noche hab. niñas RD$75,301.65
09.09 Pricesmart colchones hab niñas RD$44,780
09.09 Casa Cuesta Sab Hab Niñas RD$10,000
15.09 Saldo Muebles Altri Tempi RD$695,629.90
15.09 Taburetes ikea RD$32,985
15.09 Ilumel RD$130,636.62
16.09 Ikea RD$25,207
14.09 Pago Toppers RD$21,172
21.10 Pago Ranura Puerta RD$49,683.82
21.10 Pago filtro agua RD$29,123.10
29.10 Pago limpieza PD8 Marema RD$20,000
31.10 Pago 50% GRUA RD$17,500
31.10 Pago Limpieza Profunda muebles habitacion Principal RD$11,000
Restando:
13.10 Menos varinia venta de butacas RD$5,000
30.10 Menos venta comedor RD$60,000
30.10 Menos varinia venta de cama RD$5,000
31.10 Menos Nicole venta comedor RD$6,000
</t>
        </r>
      </text>
    </comment>
    <comment ref="V8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03.11 Pago Nicole comedor RD$5,000
14.11 Pago varinia cama/butacas RD$5,000
17.11 Pago Madelin escritorio RD$5,000
02.10 Ilumel compra mueblería remodelación RD$529,037.53
02.10 Ilumel compra mueblería remodelación RD$82,704.55
03.10 Ilumel Silla pend comedor RD$8,073.95
06.10 Ilumel compra mueblería remodelación RD$313,326.65
09.10 Bufetera Sala RD$287,560.29
15.10 Luminati lamparas entrada RD$43,275.66
01.11 Saldo Grua RD$17,500
01.11 Propinas varias RD$15,000
03.11 Instalaciones varias RD$4,000
01.11 Lavanderia cortinas RD$8,142.00
04.11 Abono jardineria balcon RD$25,085.71
19.11 Pago 25% EMS RD$323,454.24
19.11 Pago Marema RD$12,000</t>
        </r>
      </text>
    </comment>
    <comment ref="W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07.11 Saldo Closet hab niñas US$1,702.73 </t>
        </r>
      </text>
    </comment>
    <comment ref="X8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02.12 Pago Nicole credenza RD$8,000
15.12 Pago Varinia RD$5,000
08.11 Telas cortinas sala/comedor y estudio RD$38,745
02.12 Pago EMS Carabella 70% RD$233,290
02.12 Limpieza cortinas RD15,000
12.12 Pago Plantas Tropicales RD$172,180.29
12.12 Pago ing. Pedro Silva RD$64,762.75
19.12 Instalacion cortinas electricas RD$15,000
24.12 Pago Montaje TV RD$20,000
27.12 Pago marema limpieza 5.12.25 RD$10,000
27.12 Saldo EMS RD$352,838.34</t>
        </r>
      </text>
    </comment>
    <comment ref="Y8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24.11 Muebles US$2,675.86
</t>
        </r>
        <r>
          <rPr>
            <sz val="11"/>
            <color rgb="FF000000"/>
            <rFont val="Calibri"/>
            <family val="2"/>
          </rPr>
          <t xml:space="preserve">03.12 Pago 50% alfombras US$3,750
</t>
        </r>
        <r>
          <rPr>
            <sz val="11"/>
            <color rgb="FF000000"/>
            <rFont val="Calibri"/>
            <family val="2"/>
          </rPr>
          <t xml:space="preserve">08.12 Abono Puertas estudio US$6,172.78
</t>
        </r>
        <r>
          <rPr>
            <sz val="11"/>
            <color rgb="FF000000"/>
            <rFont val="Calibri"/>
            <family val="2"/>
          </rPr>
          <t>22.12 - tercer abono Marina Silverio $8,750.00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Soccer CMS
</t>
        </r>
      </text>
    </comment>
    <comment ref="C11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15/01 segundo pago Camp Danbee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Madelin Nepomuceno:
24/02 Colegiatura 2025-2026 US$43,605.00 con 5% descuento por pago aplicado vía tranferencia.</t>
        </r>
      </text>
    </comment>
    <comment ref="F11" authorId="0" shapeId="0">
      <text>
        <r>
          <rPr>
            <sz val="11"/>
            <color theme="1"/>
            <rFont val="Calibri"/>
            <family val="2"/>
            <scheme val="minor"/>
          </rPr>
          <t>Madelin Nepomuceno:
07/2 Ticket vuelo Danbee summer camp RD$26,751.00</t>
        </r>
      </text>
    </comment>
    <comment ref="H11" authorId="0" shapeId="0">
      <text>
        <r>
          <rPr>
            <sz val="11"/>
            <color theme="1"/>
            <rFont val="Calibri"/>
            <family val="2"/>
            <scheme val="minor"/>
          </rPr>
          <t>Madelin Nepomuceno:
08/03 UEPAPAY</t>
        </r>
      </text>
    </comment>
    <comment ref="I11" authorId="0" shapeId="0">
      <text>
        <r>
          <rPr>
            <sz val="11"/>
            <color theme="1"/>
            <rFont val="Calibri"/>
            <family val="2"/>
            <scheme val="minor"/>
          </rPr>
          <t>Madelin Nepomuceno:
01/04 tercer pago Camp Danbee
07/04 gastos de viaje camp danbee</t>
        </r>
      </text>
    </comment>
    <comment ref="J11" authorId="0" shapeId="0">
      <text>
        <r>
          <rPr>
            <sz val="11"/>
            <color theme="1"/>
            <rFont val="Calibri"/>
            <family val="2"/>
            <scheme val="minor"/>
          </rPr>
          <t>Madelin Nepomuceno:
06.05 GPC - evento graduacion 5to curso RD$6,000
27.05 Regalo Profe Futbol GPC RD$1,000
27.05 Pago fotografo grad GPC RD$1,500
28.05 Regalo profesora 5h GPC RD$3,000</t>
        </r>
      </text>
    </comment>
    <comment ref="L11" authorId="0" shapeId="0">
      <text>
        <r>
          <rPr>
            <sz val="11"/>
            <color theme="1"/>
            <rFont val="Calibri"/>
            <family val="2"/>
            <scheme val="minor"/>
          </rPr>
          <t>Madelin Nepomuceno:
03/06 Pago decor y cake almuerzo grad GPC RD$3,176.00</t>
        </r>
      </text>
    </comment>
    <comment ref="P11" authorId="0" shapeId="0">
      <text>
        <r>
          <rPr>
            <sz val="11"/>
            <color theme="1"/>
            <rFont val="Calibri"/>
            <family val="2"/>
            <scheme val="minor"/>
          </rPr>
          <t>Madelin Nepomuceno:
12.08 Compra de Uniforme RD$8,710
21.08 Pago de House Shirts RD$800
24.08 Pago clases padel GPC RD$1,400
31.08 Inscripcion torneo padel GPC RD$3,000
31.08 Clases futbol GPC RD$1,500</t>
        </r>
      </text>
    </comment>
    <comment ref="R1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05/09 Primer abono TC GPC RD$10,000
29/09 Inscripción torneo padel GPC RD$3,000
</t>
        </r>
      </text>
    </comment>
    <comment ref="S11" authorId="0" shapeId="0">
      <text>
        <r>
          <rPr>
            <sz val="11"/>
            <color theme="1"/>
            <rFont val="Calibri"/>
            <family val="2"/>
            <scheme val="minor"/>
          </rPr>
          <t>Madelin Nepomuceno:
24.09 Pago campers weekend GPC</t>
        </r>
      </text>
    </comment>
    <comment ref="T11" authorId="0" shapeId="0">
      <text>
        <r>
          <rPr>
            <sz val="11"/>
            <color theme="1"/>
            <rFont val="Calibri"/>
            <family val="2"/>
            <scheme val="minor"/>
          </rPr>
          <t>Madelin Nepomuceno:
02/09 Balance Uepa Pay RD$5,000
23/09 Clases Padel GPC RD$12,600
27/10 Fiesta Hallowen GPC RD$3,000</t>
        </r>
      </text>
    </comment>
    <comment ref="V11" authorId="0" shapeId="0">
      <text>
        <r>
          <rPr>
            <sz val="11"/>
            <color theme="1"/>
            <rFont val="Calibri"/>
            <family val="2"/>
            <scheme val="minor"/>
          </rPr>
          <t>Madelin Nepomuceno:
18/09 Balance Uepa Pay RD$3,000
10/10 Balance Uepa Pay RD$5,000
13/10 UEPA PAY Taquilla GPC Halloween Frolic CMS RD$1,750
03.11 Uepa Pay RD$2,00</t>
        </r>
      </text>
    </comment>
    <comment ref="X1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06.11 Clases de padel oct y nov RD$12,600
11.11 UEPA-PAY GPC RD$5,000
03.12 UEPA - PAY GPC RD$5,000
04.12 Regalo Navidad Profe Padel Graciela RD$1,000
06.12 Torneo de Padel GPC RD$7,000 - reembolso RD$3,500
16.12 Pago Clases de Padel GPC RD$5,000
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Madelin Nepomuceno:
15/01 segundo pago Camp Danbee</t>
        </r>
      </text>
    </comment>
    <comment ref="D1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17/12 UEPAPAY
</t>
        </r>
      </text>
    </comment>
    <comment ref="E12" authorId="0" shapeId="0">
      <text>
        <r>
          <rPr>
            <sz val="11"/>
            <color theme="1"/>
            <rFont val="Calibri"/>
            <family val="2"/>
            <scheme val="minor"/>
          </rPr>
          <t>Madelin Nepomuceno:
24/02 Colegiatura 2025-2026 US$43,605.00 con 5% descuento por pago aplicado vía tranferencia.</t>
        </r>
      </text>
    </comment>
    <comment ref="F12" authorId="0" shapeId="0">
      <text>
        <r>
          <rPr>
            <sz val="11"/>
            <color theme="1"/>
            <rFont val="Calibri"/>
            <family val="2"/>
            <scheme val="minor"/>
          </rPr>
          <t>Madelin Nepomuceno:
30/01 UEPA PAY RD$5,000
07/2 Ticket Vuelo Danbee summer camp RD$26,751.00
11/03 Abono TC CPC RD$5,000
13/03 Abono TC CPC RD$10,000</t>
        </r>
      </text>
    </comment>
    <comment ref="H12" authorId="0" shapeId="0">
      <text>
        <r>
          <rPr>
            <sz val="11"/>
            <color theme="1"/>
            <rFont val="Calibri"/>
            <family val="2"/>
            <scheme val="minor"/>
          </rPr>
          <t>Madelin Nepomuceno:
08/03 UEPAPAY</t>
        </r>
      </text>
    </comment>
    <comment ref="I12" authorId="0" shapeId="0">
      <text>
        <r>
          <rPr>
            <sz val="11"/>
            <color theme="1"/>
            <rFont val="Calibri"/>
            <family val="2"/>
            <scheme val="minor"/>
          </rPr>
          <t>Madelin Nepomuceno:
01/04 tercer pago Camp Danbee
07/04 gastos de viaje camp danbee</t>
        </r>
      </text>
    </comment>
    <comment ref="J1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12/5 Regalo Profe Futbol Catalina RD$3,000.00
22/05 Abono TC CPC RD$8,700
</t>
        </r>
      </text>
    </comment>
    <comment ref="L1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28/04 UEPAPAY RD$5,000
10/06 Pago taquilla Concierto BB RD$14,980 - 16.11 reembolso boleta RD$14,980
17/06 Abono TC CPC RD$5,000
</t>
        </r>
      </text>
    </comment>
    <comment ref="P12" authorId="0" shapeId="0">
      <text>
        <r>
          <rPr>
            <sz val="11"/>
            <color theme="1"/>
            <rFont val="Calibri"/>
            <family val="2"/>
            <scheme val="minor"/>
          </rPr>
          <t>Madelin Nepomuceno:
12.08 Pago 4 clases tenis CPC RD$3,000
12.08 Compra de Uniforme RD$4,640
13.08 Abono TC CPC RD$10,000
21.08 Pago de House Shirts RD$800</t>
        </r>
      </text>
    </comment>
    <comment ref="R12" authorId="0" shapeId="0">
      <text>
        <r>
          <rPr>
            <sz val="11"/>
            <color theme="1"/>
            <rFont val="Calibri"/>
            <family val="2"/>
            <scheme val="minor"/>
          </rPr>
          <t>Madelin Nepomuceno:
05.09 Abono TC CPC RD$5,000
17.09 Abono TC CPC RD$10,000</t>
        </r>
      </text>
    </comment>
    <comment ref="T12" authorId="0" shapeId="0">
      <text>
        <r>
          <rPr>
            <sz val="11"/>
            <color theme="1"/>
            <rFont val="Calibri"/>
            <family val="2"/>
            <scheme val="minor"/>
          </rPr>
          <t>Madelin Nepomuceno:
9/9/2025 Uepapay - Ecommerce, Santo Domingo	$1,950.00 
17.10 Abono TC CPC RD$10,000</t>
        </r>
      </text>
    </comment>
    <comment ref="V12" authorId="0" shapeId="0">
      <text>
        <r>
          <rPr>
            <sz val="11"/>
            <color theme="1"/>
            <rFont val="Calibri"/>
            <family val="2"/>
            <scheme val="minor"/>
          </rPr>
          <t>Madelin Nepomuceno:
18/09 Balance Uepa Pay RD$5,000
27/09 T-shirt deporte CPC RD$3,880
11/11 Abono TC Catalina RD$8,200</t>
        </r>
      </text>
    </comment>
    <comment ref="X12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06.11 Clases de padel nov RD$6,300
</t>
        </r>
        <r>
          <rPr>
            <sz val="11"/>
            <color rgb="FF000000"/>
            <rFont val="Calibri"/>
            <family val="2"/>
          </rPr>
          <t xml:space="preserve">11.11 UEPA-PAY CPC RD$2,000
</t>
        </r>
        <r>
          <rPr>
            <sz val="11"/>
            <color rgb="FF000000"/>
            <rFont val="Calibri"/>
            <family val="2"/>
          </rPr>
          <t xml:space="preserve">11.11 UEPA-PAY CPC RD$3,000
</t>
        </r>
        <r>
          <rPr>
            <sz val="11"/>
            <color rgb="FF000000"/>
            <rFont val="Calibri"/>
            <family val="2"/>
          </rPr>
          <t xml:space="preserve">06.12 Abono TC RD$10,000
</t>
        </r>
        <r>
          <rPr>
            <sz val="11"/>
            <color rgb="FF000000"/>
            <rFont val="Calibri"/>
            <family val="2"/>
          </rPr>
          <t xml:space="preserve">18.12 Abono TC RD$6,000
</t>
        </r>
      </text>
    </comment>
    <comment ref="V15" authorId="0" shapeId="0">
      <text>
        <r>
          <rPr>
            <sz val="11"/>
            <color theme="1"/>
            <rFont val="Calibri"/>
            <family val="2"/>
            <scheme val="minor"/>
          </rPr>
          <t>Madelin Nepomuceno:
19.11 Pago permiso arma EO RD$6,765
30.11 Gratificación EO RD$20,000</t>
        </r>
      </text>
    </comment>
    <comment ref="X15" authorId="0" shapeId="0">
      <text>
        <r>
          <rPr>
            <sz val="11"/>
            <color theme="1"/>
            <rFont val="Calibri"/>
            <family val="2"/>
            <scheme val="minor"/>
          </rPr>
          <t>Madelin Nepomuceno:
18.11 Renovacion Arma EO RD$5,850</t>
        </r>
      </text>
    </comment>
    <comment ref="D16" authorId="0" shapeId="0">
      <text>
        <r>
          <rPr>
            <sz val="11"/>
            <color theme="1"/>
            <rFont val="Calibri"/>
            <family val="2"/>
            <scheme val="minor"/>
          </rPr>
          <t>Madelin Nepomuceno:
17.02 Prestamo RD$10,000</t>
        </r>
      </text>
    </comment>
    <comment ref="F16" authorId="0" shapeId="0">
      <text>
        <r>
          <rPr>
            <sz val="11"/>
            <color theme="1"/>
            <rFont val="Calibri"/>
            <family val="2"/>
            <scheme val="minor"/>
          </rPr>
          <t>Madelin Nepomuceno:
27.03 Descuento Prestamo RD$1,000</t>
        </r>
      </text>
    </comment>
    <comment ref="H1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01.04 Aumento de RD$2,000
11.04 Descuento Prestamo RD$1,000
30.04 Descuento Prestamo RD$1,000
</t>
        </r>
      </text>
    </comment>
    <comment ref="J1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25/5 Regalo madres RD$5,000.00
15.05 Descuento Prestamo RD$1,000
30.05 Descuento Prestamo RD$1,000
</t>
        </r>
      </text>
    </comment>
    <comment ref="L16" authorId="0" shapeId="0">
      <text>
        <r>
          <rPr>
            <sz val="11"/>
            <color theme="1"/>
            <rFont val="Calibri"/>
            <family val="2"/>
            <scheme val="minor"/>
          </rPr>
          <t>Madelin Nepomuceno:
03/06 Pago dia extra RD$1,500
05/06 Pago dia extra RD$1,500
10/06 Pago dia extra RD$1,500
12/06 Pago dia extra RD$1,500
17/06 Pago dia extra RD$1,500</t>
        </r>
      </text>
    </comment>
    <comment ref="P1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06.08 Prestamo RD$7,000
19.08 Gratificación RD$4,500
15.08 Descuento Prestamo RD$2,500
29.08 Descuento Prestamo RD$2,500
</t>
        </r>
      </text>
    </comment>
    <comment ref="R1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11.09 Pago dias extra RD$5,000
15.09 Descuento Prestamo RD$2,000
29.09 Pago dias extra RD$5,000
</t>
        </r>
      </text>
    </comment>
    <comment ref="T16" authorId="0" shapeId="0">
      <text>
        <r>
          <rPr>
            <sz val="11"/>
            <color theme="1"/>
            <rFont val="Calibri"/>
            <family val="2"/>
            <scheme val="minor"/>
          </rPr>
          <t>Madelin Nepomuceno:
09.10 Prestamo RD$10,000
15.10 Descuento prestamo RD$1,500
30.10 Descuento prestamo RD$1,500</t>
        </r>
      </text>
    </comment>
    <comment ref="V16" authorId="0" shapeId="0">
      <text>
        <r>
          <rPr>
            <sz val="11"/>
            <color theme="1"/>
            <rFont val="Calibri"/>
            <family val="2"/>
            <scheme val="minor"/>
          </rPr>
          <t>Madelin Nepomuceno:
Aumento por nov RD$10,000
14.11 Descuento prestamo RD$1,500
28.11 Descuento prestamo RD$1,500</t>
        </r>
      </text>
    </comment>
    <comment ref="X1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Días extra RD$5,000
15.12 Descuento prestamo RD$1,500
21.12 Regalia RD$26,000
</t>
        </r>
      </text>
    </comment>
    <comment ref="F17" authorId="0" shapeId="0">
      <text>
        <r>
          <rPr>
            <sz val="11"/>
            <color theme="1"/>
            <rFont val="Calibri"/>
            <family val="2"/>
            <scheme val="minor"/>
          </rPr>
          <t>Madelin Nepomuceno:
14/03 Pagado por transferencia</t>
        </r>
      </text>
    </comment>
    <comment ref="H17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15.04 Pagado por transferencia</t>
        </r>
      </text>
    </comment>
    <comment ref="L17" authorId="0" shapeId="0">
      <text>
        <r>
          <rPr>
            <sz val="11"/>
            <color theme="1"/>
            <rFont val="Calibri"/>
            <family val="2"/>
            <scheme val="minor"/>
          </rPr>
          <t>Madelin Nepomuceno:
17.06 Pagado por transferencia</t>
        </r>
      </text>
    </comment>
    <comment ref="N17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15.07 Pagado por transferencia</t>
        </r>
      </text>
    </comment>
    <comment ref="P17" authorId="0" shapeId="0">
      <text>
        <r>
          <rPr>
            <sz val="11"/>
            <color theme="1"/>
            <rFont val="Calibri"/>
            <family val="2"/>
            <scheme val="minor"/>
          </rPr>
          <t>Madelin Nepomuceno:
16.08 Pagado por transferencia</t>
        </r>
      </text>
    </comment>
    <comment ref="R17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15.09 Pagado por transferencia</t>
        </r>
      </text>
    </comment>
    <comment ref="T17" authorId="0" shapeId="0">
      <text>
        <r>
          <rPr>
            <sz val="11"/>
            <color theme="1"/>
            <rFont val="Calibri"/>
            <family val="2"/>
            <scheme val="minor"/>
          </rPr>
          <t>Madelin Nepomuceno:
16.10 Pagado por caja chica</t>
        </r>
      </text>
    </comment>
    <comment ref="V17" authorId="0" shapeId="0">
      <text>
        <r>
          <rPr>
            <sz val="11"/>
            <color theme="1"/>
            <rFont val="Calibri"/>
            <family val="2"/>
            <scheme val="minor"/>
          </rPr>
          <t>Madelin Nepomuceno:
14.11 Pagado por transferencia</t>
        </r>
      </text>
    </comment>
    <comment ref="X17" authorId="0" shapeId="0">
      <text>
        <r>
          <rPr>
            <sz val="11"/>
            <color theme="1"/>
            <rFont val="Calibri"/>
            <family val="2"/>
            <scheme val="minor"/>
          </rPr>
          <t>Madelin Nepomuceno:
15.12 Pagado por transferencia
23.12 Gratificacion navideña RD$7,000</t>
        </r>
      </text>
    </comment>
    <comment ref="D18" authorId="0" shapeId="0">
      <text>
        <r>
          <rPr>
            <sz val="11"/>
            <color theme="1"/>
            <rFont val="Calibri"/>
            <family val="2"/>
            <scheme val="minor"/>
          </rPr>
          <t>Madelin Nepomuceno:
14/02 CK Prestaciones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Madelin Nepomuceno:
15/02 Aumento de RD$2,000</t>
        </r>
      </text>
    </comment>
    <comment ref="J19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Pago quincena mayo 1-15 menos prestamo RD$10,500
Prestaciones y gratificación 06.06 CK RD$50,000
</t>
        </r>
      </text>
    </comment>
    <comment ref="H20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25.04 Pago semana de prueba RD$6,250
30.04 Pago 3 días laborados RD$3,750 pagado por </t>
        </r>
      </text>
    </comment>
    <comment ref="R20" authorId="0" shapeId="0">
      <text>
        <r>
          <rPr>
            <sz val="11"/>
            <color theme="1"/>
            <rFont val="Calibri"/>
            <family val="2"/>
            <scheme val="minor"/>
          </rPr>
          <t>Madelin Nepomuceno:
01.09 Prestaciones Maribel</t>
        </r>
      </text>
    </comment>
    <comment ref="T21" authorId="0" shapeId="0">
      <text>
        <r>
          <rPr>
            <sz val="11"/>
            <color theme="1"/>
            <rFont val="Calibri"/>
            <family val="2"/>
            <scheme val="minor"/>
          </rPr>
          <t>Madelin Nepomuceno:
02.10 Pasaje Melissa RD$2,000</t>
        </r>
      </text>
    </comment>
    <comment ref="L22" authorId="0" shapeId="0">
      <text>
        <r>
          <rPr>
            <sz val="11"/>
            <color theme="1"/>
            <rFont val="Calibri"/>
            <family val="2"/>
            <scheme val="minor"/>
          </rPr>
          <t>Madelin Nepomuceno:
Pagado:
05.06.2025
12.06.2025</t>
        </r>
      </text>
    </comment>
    <comment ref="N22" authorId="0" shapeId="0">
      <text>
        <r>
          <rPr>
            <sz val="11"/>
            <color theme="1"/>
            <rFont val="Calibri"/>
            <family val="2"/>
            <scheme val="minor"/>
          </rPr>
          <t>Madelin Nepomuceno:
Pagado:
17.07.2025
28.07.2025
31.07.2025</t>
        </r>
      </text>
    </comment>
    <comment ref="P22" authorId="0" shapeId="0">
      <text>
        <r>
          <rPr>
            <sz val="11"/>
            <color theme="1"/>
            <rFont val="Calibri"/>
            <family val="2"/>
            <scheme val="minor"/>
          </rPr>
          <t>Madelin Nepomuceno:
Pagado:
07.08.2025
14.08.2025
21.08.2025
28.08.2025</t>
        </r>
      </text>
    </comment>
    <comment ref="V22" authorId="0" shapeId="0">
      <text>
        <r>
          <rPr>
            <sz val="11"/>
            <color theme="1"/>
            <rFont val="Calibri"/>
            <family val="2"/>
            <scheme val="minor"/>
          </rPr>
          <t>Madelin Nepomuceno:
14.11 Pagado RD$3,000 (dias 6 y 13 laborado)
28.11 Pagado RD$3,000 (día 20)</t>
        </r>
      </text>
    </comment>
    <comment ref="X22" authorId="0" shapeId="0">
      <text>
        <r>
          <rPr>
            <sz val="11"/>
            <color theme="1"/>
            <rFont val="Calibri"/>
            <family val="2"/>
            <scheme val="minor"/>
          </rPr>
          <t>Madelin Nepomuceno:
Días laborados:
04.12.2025
12.12.2025
13.12.2025
23.12 Gratificacion navideña RD$5,000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3/5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4/5
5/5
</t>
        </r>
      </text>
    </comment>
    <comment ref="R25" authorId="0" shapeId="0">
      <text>
        <r>
          <rPr>
            <sz val="11"/>
            <color theme="1"/>
            <rFont val="Calibri"/>
            <family val="2"/>
            <scheme val="minor"/>
          </rPr>
          <t>Madelin Nepomuceno:
1/6 Pagado 12/08</t>
        </r>
      </text>
    </comment>
    <comment ref="T25" authorId="0" shapeId="0">
      <text>
        <r>
          <rPr>
            <sz val="11"/>
            <color theme="1"/>
            <rFont val="Calibri"/>
            <family val="2"/>
            <scheme val="minor"/>
          </rPr>
          <t>Madelin Nepomuceno:
2/6 Pagado 16/09</t>
        </r>
      </text>
    </comment>
    <comment ref="V25" authorId="0" shapeId="0">
      <text>
        <r>
          <rPr>
            <sz val="11"/>
            <color theme="1"/>
            <rFont val="Calibri"/>
            <family val="2"/>
            <scheme val="minor"/>
          </rPr>
          <t>Madelin Nepomuceno:
3/6 Pagado 20.10 con TC de ACT - pend reembolso</t>
        </r>
      </text>
    </comment>
    <comment ref="X25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4/6 Pagado 13/11
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5/5
</t>
        </r>
      </text>
    </comment>
    <comment ref="S26" authorId="0" shapeId="0">
      <text>
        <r>
          <rPr>
            <sz val="11"/>
            <color theme="1"/>
            <rFont val="Calibri"/>
            <family val="2"/>
            <scheme val="minor"/>
          </rPr>
          <t>Madelin Nepomuceno:
Pago Cuota 1/4 15.09.25</t>
        </r>
      </text>
    </comment>
    <comment ref="U2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Pago Cuota 2/4 13.10.25
</t>
        </r>
      </text>
    </comment>
    <comment ref="W26" authorId="0" shapeId="0">
      <text>
        <r>
          <rPr>
            <sz val="11"/>
            <color theme="1"/>
            <rFont val="Calibri"/>
            <family val="2"/>
            <scheme val="minor"/>
          </rPr>
          <t>Madelin Nepomuceno:
Pago Cuota 3/4 12.11.25</t>
        </r>
      </text>
    </comment>
    <comment ref="Y26" authorId="0" shapeId="0">
      <text>
        <r>
          <rPr>
            <sz val="11"/>
            <color theme="1"/>
            <rFont val="Calibri"/>
            <family val="2"/>
            <scheme val="minor"/>
          </rPr>
          <t>Madelin Nepomuceno:
Pago Cuota 4/4 12.12.25</t>
        </r>
      </text>
    </comment>
    <comment ref="B27" authorId="0" shapeId="0">
      <text>
        <r>
          <rPr>
            <sz val="11"/>
            <color theme="1"/>
            <rFont val="Calibri"/>
            <family val="2"/>
            <scheme val="minor"/>
          </rPr>
          <t>Madelin Nepomuceno:
3/5
4/5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Madelin Nepomuceno:
5/5</t>
        </r>
      </text>
    </comment>
    <comment ref="R27" authorId="0" shapeId="0">
      <text>
        <r>
          <rPr>
            <sz val="11"/>
            <color theme="1"/>
            <rFont val="Calibri"/>
            <family val="2"/>
            <scheme val="minor"/>
          </rPr>
          <t>Madelin Nepomuceno:
1/5 Pagado 13/08</t>
        </r>
      </text>
    </comment>
    <comment ref="T27" authorId="0" shapeId="0">
      <text>
        <r>
          <rPr>
            <sz val="11"/>
            <color theme="1"/>
            <rFont val="Calibri"/>
            <family val="2"/>
            <scheme val="minor"/>
          </rPr>
          <t>Madelin Nepomuceno:
2/5 Pagado 11/09</t>
        </r>
      </text>
    </comment>
    <comment ref="V27" authorId="0" shapeId="0">
      <text>
        <r>
          <rPr>
            <sz val="11"/>
            <color theme="1"/>
            <rFont val="Calibri"/>
            <family val="2"/>
            <scheme val="minor"/>
          </rPr>
          <t>Madelin Nepomuceno:
3/5 13.10 Mapfre RD$10,713.97</t>
        </r>
      </text>
    </comment>
    <comment ref="X27" authorId="0" shapeId="0">
      <text>
        <r>
          <rPr>
            <sz val="11"/>
            <color theme="1"/>
            <rFont val="Calibri"/>
            <family val="2"/>
            <scheme val="minor"/>
          </rPr>
          <t>Madelin Nepomuceno:
4/5 11.11 Mapfre RD$10,941.24</t>
        </r>
      </text>
    </comment>
    <comment ref="I28" authorId="0" shapeId="0">
      <text>
        <r>
          <rPr>
            <sz val="11"/>
            <color theme="1"/>
            <rFont val="Calibri"/>
            <family val="2"/>
            <scheme val="minor"/>
          </rPr>
          <t>Madelin Nepomuceno:
07/03 Pago Póliza de vida JMPP: $5,000.00 (primer pago)+$21.00(fee)+$2,870.00(segundo pago) + $21.00(fee).</t>
        </r>
      </text>
    </comment>
    <comment ref="M28" authorId="0" shapeId="0">
      <text>
        <r>
          <rPr>
            <sz val="11"/>
            <color theme="1"/>
            <rFont val="Calibri"/>
            <family val="2"/>
            <scheme val="minor"/>
          </rPr>
          <t>Madelin Nepomuceno:
Proyección pago poliza AMCR
03/05 Pago póliza de vida AMCR $8,530.00
1er pago $5,000+ $21(fee)
2do. pago $3,530+ $21(fee)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Madelin Nepomuceno:
10/1 Pago dic RD$67,973.50
24/1 Pago balance al corte RD$62,363.62
Santo Domingo Country Club RD$11,790
02/01 Poliza Mapfre RD$7,794.60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Madelin Nepomuceno:
26/2 Pago balance al corte RD$170,494.97
Restando:
9/1 Edesur Enero RD$35,248.92
10/1 Seguros Sura RD$25,343.95
13/01 Dr. Hector Luis Rodriguez RD$6,155
20/1 Santo Domingo Country Club RD$12,970
20/1 Laboratorios Braca RD$10,500
3/2 Seguros Sura RD$25,517.19
3/2 Mapfre Seguros RD$7,875.19</t>
        </r>
      </text>
    </comment>
    <comment ref="F3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27/3 Pago balance al corte RD$195,213.38
Restando:
07/02 Vuelos Camp Danbee RD$53,502.00
10/02 Santo Domingo Country Club RD$12,970
11/02 Pago edesur enero RD$30,885.63
12/02 Pago parcial edesur feb RD$30,885.63
12/01 Dr. Hector Luis Rodriguez RD$11,507
</t>
        </r>
      </text>
    </comment>
    <comment ref="H31" authorId="0" shapeId="0">
      <text>
        <r>
          <rPr>
            <sz val="11"/>
            <color theme="1"/>
            <rFont val="Calibri"/>
            <family val="2"/>
            <scheme val="minor"/>
          </rPr>
          <t>Madelin Nepomuceno:
23/4 Pago balance al corte RD$122,544.51 y USD$20
Restando:
Gastos de supermercado RD$1,287.85
05/03 Ultravioleta Boutique Res RD$2,650
10/03 Santo Domingo Country Club RD$12,970
11/03 Pago parcial edesur feb RD$1,515.36
12/03 Dr. Hector Luis Rodriguez RD$12,758.50 - reembolso RD$10,464.53</t>
        </r>
      </text>
    </comment>
    <comment ref="J31" authorId="0" shapeId="0">
      <text>
        <r>
          <rPr>
            <sz val="11"/>
            <color theme="1"/>
            <rFont val="Calibri"/>
            <family val="2"/>
            <scheme val="minor"/>
          </rPr>
          <t>Madelin Nepomuceno:
30/5 Pago balance al corte RD$118,675.93 y USD$800
Restando:
Gastos de supermercado RD$7,478.13
10/04 Santo Domingo Country Club RD$12,970
11/04 Domiciliacion Edesur RD$31,580.17</t>
        </r>
      </text>
    </comment>
    <comment ref="L31" authorId="0" shapeId="0">
      <text>
        <r>
          <rPr>
            <sz val="11"/>
            <color theme="1"/>
            <rFont val="Calibri"/>
            <family val="2"/>
            <scheme val="minor"/>
          </rPr>
          <t>Madelin Nepomuceno:
30/6 Pago balance al corte RD$109,950.85
Restando:
09/05 Santo Domingo Country Club RD$12,970
14/05 Domiliación Edesur Abril RD$30,849.55</t>
        </r>
      </text>
    </comment>
    <comment ref="N3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25/07 Pago balance al corte RD$188,177.56
Restando:
11/06 Domiliación Edesur Mayo RD$31,138.19
12/06 Santo Domingo Country Club RD$12,970
</t>
        </r>
      </text>
    </comment>
    <comment ref="P3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28/08 Pago al corte RD$88,623.26
Restando:
10/07 Domiliación Edesur Junio RD$34,511.67
11/07 Santo Domingo Country Club RD$12,970
Gastos fin de semana:
15.07 Superm Nacional Marina Ch, La Romana RD$2,650.98
</t>
        </r>
      </text>
    </comment>
    <comment ref="Q31" authorId="0" shapeId="0">
      <text>
        <r>
          <rPr>
            <sz val="11"/>
            <color theme="1"/>
            <rFont val="Calibri"/>
            <family val="2"/>
            <scheme val="minor"/>
          </rPr>
          <t>Madelin Nepomuceno:
Balance al corte $812.82
28.08 Pagado por cheque $813</t>
        </r>
      </text>
    </comment>
    <comment ref="R31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11/09 Abono RD$50,000
15/09 Abono RD$200,000
Restando:
Gastos Super RD$11,712.90
11/08 Domiliación Edesur Julio RD$29,870.27
11/08 Santo Domingo Country Club RD$12,970
Gastos fin de semana:
12/08 Ultra Violeta Hotel, PP RD$310
15/08 El Catador RD$14,513.95
12/08 Seguros Sura RD$42,568.15
13/08 Mapfre RD$10,447.19
21.08 Compra Extractor RD$31,339.04
25.08 Ortoplan CPC RD$45,600 - reembolsado RD$25,920</t>
        </r>
      </text>
    </comment>
    <comment ref="T3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11/09 Abono RD$50,000
16/09 Abono RD$200,000
22/09 Abono RD$100,000
20/10 Abono RD$150,000
23/10 Completivo saldo al corte RD$803,474.18
Restando:
Gastos super RD$5,217.45
08/09 Santo Domingo Country Club RD$12,970
08/09 Alo yoga GPG RD$18,585
08/09 Ilumel mesitas de noche hab. niñas RD$75,301.65
09/09 Pricesmart colchones hab niñas RD$44,780
09.09 Casa Cuesta Sab Hab Niñas RD$10,000
09.09 Domiliación Edesur Agosto RD$27,278.45
11.09 Mapfre RD$10,851.57
11/09 Ikea Sab Cumple GPC RD$10,130
12/09 Pricesmart Colchones infables RD$9,590
15/09 Altritempi Saldo muebles RD$695,629.90
16/09 Ikea RD$25,207
16/09 Seguros Sura RD$26,154.77
23/09 Clases Padel GPC RD$12,600
25/09 Helados Bon RD$4,888.50
</t>
        </r>
      </text>
    </comment>
    <comment ref="V31" authorId="0" shapeId="0">
      <text>
        <r>
          <rPr>
            <sz val="11"/>
            <color theme="1"/>
            <rFont val="Calibri"/>
            <family val="2"/>
            <scheme val="minor"/>
          </rPr>
          <t>Madelin Nepomuceno:
28.11 Saldo al corte RD$267,789.70
Gastos super: RD$1,154.80
Restando:
08.10 Domiliación Edesur Sept RD$36,047.86
10.10 Santo Domingo Country Club RD$12,970
13.10 Mapfre RD$10,713.97
15.10 Luminati lamparas entrada RD$43,275.66
31.10 Dentista GPC RD$1,500
03.11 Dentista GPC RD$6,700
03.11 Clases de entrenador JMPP RD$10,500
03.11 UEPA PAY GPC RD$2,000</t>
        </r>
      </text>
    </comment>
    <comment ref="X31" authorId="0" shapeId="0">
      <text>
        <r>
          <rPr>
            <sz val="11"/>
            <color theme="1"/>
            <rFont val="Calibri"/>
            <family val="2"/>
            <scheme val="minor"/>
          </rPr>
          <t>Madelin Nepomuceno:
29.12 Pago al corte RD$443,091.05 + RD$33,473.75
Gastos super: RD$1,101.75
Restando:
06.11 Clases de padel gpc &amp; cpc RD$18,600
07.11 Dentista AMCR RD$4,500
07.11 Domiliación Edesur Oct RD$36,751.42
11.11 UEPA-PAY CPC RD$2,000
11.11 UEPA-PAY GPC RD$5,000
11.11 UEPA-PAY CPC RD$3,000
11.11 Santo Domingo Country Club RD$12,970
11.11 Mapfre RD$10,941.24
13.11 Seguros Sura RD$26,601.12
14.11 Ortoplan RD$11,951 - reembolso RD$10,755.90
19.11 Vv Autos Showroom Moviti Fiat RD$44,178.82 - reembolsado por CA
21.11 Taquillas AMCR, JMPP Y CPC RD$19,170
21.11 Taquillas adicionales RD$38,340 - reembolso RD$31,950
01.12 Ortoplan GPC RD$8,000
03.12 UEPA - PAY GPC RD$5,000
03.12 Womens Care AMCR RD$8,000</t>
        </r>
      </text>
    </commen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Madelin Nepomuceno:
10/1 pago balance al corte 376,447.09
Restando:
Gastos super RD$48,168.76
18/11 Edesur RD$72,045.04
20/11 Claro RD$5,750.89
27/11 Dr. Hector Luis RD$15,000
03/12 Poliza Mapfre RD$7,707.79
03/12 Poliza Sura RD$24,942.65
13/12 Soccer CMS RD$30,200
Gastos fin de semana:
29/11 Bonjour Total Arenoso RD$595
29/11 Beluga Beach Club, Las Terrenas RD$5,000
30/11 Beach Club RD$9,637.97
30/11 Komida RD$1,445</t>
        </r>
      </text>
    </comment>
    <comment ref="D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7/2 pago balance al corte RD$177,712.01
Restando:
Gastos de supermercado RD$30,605.13
17/2 UEPAY RD$2,000
20/12 Claro RD$5,750.89
</t>
        </r>
      </text>
    </comment>
    <comment ref="F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7/3 pago balance al corte RD$344,355.79
Restando:
Gastos de supermercado RD$15,522.22
20/1 Claro RD$5,750.89
06/02 Regalo CPC RD$5,850
08/02 Restaurante CPC RD$109,676.80
</t>
        </r>
      </text>
    </comment>
    <comment ref="H32" authorId="0" shapeId="0">
      <text>
        <r>
          <rPr>
            <sz val="11"/>
            <color theme="1"/>
            <rFont val="Calibri"/>
            <family val="2"/>
            <scheme val="minor"/>
          </rPr>
          <t>Madelin Nepomuceno:
07/04 Pago al corte RD$283,946.22
Restando:
Gastos de supermercado RD$56,756.95
21/2 Claro RD$5,750.89
24/02 Dr Hecto Luis Rodriguez AMCR RD$9,100 - reembolso 28/02 RD$8,190.
Gastos fin de semana:
27/02 Tipico Bonao Norte RD$5,386.29
27/02 Ultravioleta Hotel Res, Sosua RD$72,986.88
28/02 Pedidos Ya RD$910
28/02 Pedidos Ya RD$425
28/02 Supermercado playero Sosua RD$3,728.65
01/03 Vagamundo Coffe Puerto plata RD$2,090
01/03 Vagamundo Coffe Puerto plata RD$270
01/03 Restaurant Waterfront puerto plata RD$3,140.02
01/03 Esso Cabarete Sosua RD$605
08/03 UEPAPAY CPC RD$3,000
08/03 UEPAPAY GPC RD$2,000</t>
        </r>
      </text>
    </comment>
    <comment ref="J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09/05 Pago al corte RD$122,168.72
Restando:
20/03 Claro RD$5,750.89
26/03 Panel Gastro RD$9,690 - reembolso RD$4,845
28/03 Analisis AMCR RD$1,135
28/03 Analisis JMPP y domicilio RD$1,635
02/04 Ortoplan CPC RD$6,700 - reembolso RD$3,700
04/04 Ortoplan AMCR RD$12,000 - reembolso RD$10,800
</t>
        </r>
      </text>
    </comment>
    <comment ref="L32" authorId="0" shapeId="0">
      <text>
        <r>
          <rPr>
            <sz val="11"/>
            <color theme="1"/>
            <rFont val="Calibri"/>
            <family val="2"/>
            <scheme val="minor"/>
          </rPr>
          <t>Madelin Nepomuceno:
09/06 Pago al corte RD$129,077.93
Restando:
Gastos de supermercado RD$5,583.89
20/04 Claro RD$5,750.89
22/04 ORTOPLAN CPC RD$13,536.20
09/05 ORTOPLAN CPC RD$11,211</t>
        </r>
      </text>
    </comment>
    <comment ref="N32" authorId="0" shapeId="0">
      <text>
        <r>
          <rPr>
            <sz val="11"/>
            <color theme="1"/>
            <rFont val="Calibri"/>
            <family val="2"/>
            <scheme val="minor"/>
          </rPr>
          <t>Madelin Nepomuceno:
10/07 Pago al corte RD$159,791.49
Restando:
Gastos de supermercado RD$6,440.70
20/05 Claro RD$5,750.89
11/06 Ortoplan CPC RD$12,281.50</t>
        </r>
      </text>
    </comment>
    <comment ref="P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08/08 Pago al corte RD$125,035.64
Restando:
16/06 Claro CPC &amp; GPC RD$4,785.02
20/06 Claro RD$5,750.89
10.07 Ortoplan CPC RD$11,238.70
Gastos fin de semana:
11.07 Candela Cuisine Lp RD$1,600.08
11.07 Vilis Cookies Lp RD$1,300
11.07 Uber Eats RD$1,984
12.07 Tipico Bonao La Romana RD$2,986.26
14.07 Il Capo RD$1,168.20
14.07 Shibuya Casa de Campo RD$10,736
</t>
        </r>
      </text>
    </comment>
    <comment ref="Q32" authorId="0" shapeId="0">
      <text>
        <r>
          <rPr>
            <sz val="11"/>
            <color theme="1"/>
            <rFont val="Calibri"/>
            <family val="2"/>
            <scheme val="minor"/>
          </rPr>
          <t>Madelin Nepomuceno:
08/08 Pago balance a la fecha USD$182.93</t>
        </r>
      </text>
    </comment>
    <comment ref="R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Restando:
16.07 Compra de espejo Badeco RD$17,061.03
20/07 Claro RD$5,750.89
12/08 Limpieza CPC RD$4,700 - reembolso RD$
13/08 Consulta periodotal CPC RD$3,000
15.08 Pago Telas cortinas hab niñas RD$60,255
15.08 Pago plan CPC &amp; GPC RD$4,335.70
Gastos fin de semana
11.08 Sagrario Hernandez RD$3,745
11.08 Tipico bonao RD$849.60
11.08 Restaurant Water Front RD$7,289.97
11.08 Restaurant Water Front RD$6,120.01
11.08 Supermercado Playero RD$9,366.37
11/08 Ortoplan CPC RD$13,450.60 - reembolso RD$10,273.05
13/08 Dowtown Vip RD$1,700
13/08 Dowtown Center I RD$1,350
13/08 Dowtown Center I RD$460
14/08 Cafe Marieta RD$10,469.28
14/08 El Mercadito RD$2,850
14/08 Uber Eats RD$1,858
15/08 Jumbo La Romana RD$14,042.02
</t>
        </r>
      </text>
    </comment>
    <comment ref="T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29/08 Abono TC RD$100,000
02/09 Abono TC RD$250,000
15/09 Abono TC RD$150,000
01/10 Pago al corte RD$529,954.26
Gastos super: RD$904.80
Restando:
18.08 Casa de campo RD$14,500
21/08 Claro RD$5,728.05
21.08 Compra lavadora y secadora RD$101,990
23.08 Abono muebles RD$400,000
23.08 Arte san ramon RD$37,993.92
28.08 Compra sab hab. niñas RD$59,315.26
02/09 Balance Uepa Pay RD$5,000
06/09 Alo Yoga GPC RD$17,085
9/9/2025 Uepapay - Ecommerce, Santo Domingo	$1,950.00 
Gastos fin de semana
11/09 Ortoplan CPC RD$11,821.50 - reembolso
15.09 Taburetes ikea RD$32,985 
15.09 Pago plan CPC &amp; GPC RD$4,350.02
15.09 Ilumel RD$130,636.62
</t>
        </r>
      </text>
    </comment>
    <comment ref="V32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22/09 Abono RD$200,000
01/10 Abono RD$245,000
08/10 Abono RD$400,000
07/11 Pago al corte RD$513,821.99
Gastos super: RD$5,135.10
Restando:
18/09 Balance Uepa Pay RD$5,000 CPC
18/09 Balance Uepa Pay RD$3,000 GPC
22/09 Dulces cumple Pricesmart GPC RD$8,962
22/09 Claro RD$5,750.89
23/09 Lets party desechables Cumple GPC RD$4,135
24/09 Uber galletas RD$56.27
24/09 Pedidos ya tips RD$40
25/09 Pedidos ya suspiritos RD$2,320
27/09 T-shirt deporte CPC RD$3,880
02/10 Ilumel compra mueblería remodelación RD$529,037.53
02/10 Ilumel compra mueblería remodelación RD$82,704.55
03/10 Ilumel Silla pend comedor RD$8,073.95
06/10 Ilumel compra mueblería remodelación RD$313,326.65
09.10 Bufetera Sala RD$287,560.29
10/10 Balance Uepa Pay RD$5,000
11/10 Ortoplan CPC RD$11,729
13/10 UEPA PAY Taquilla GPC Halloween Frolic CMS RD$1,750
15/10 Pago plan CPC &amp; GPC RD$4,350</t>
        </r>
      </text>
    </comment>
    <comment ref="W32" authorId="0" shapeId="0">
      <text>
        <r>
          <rPr>
            <sz val="11"/>
            <color theme="1"/>
            <rFont val="Calibri"/>
            <family val="2"/>
            <scheme val="minor"/>
          </rPr>
          <t>Madelin Nepomuceno:
07/11 Pago balance a la fecha USD$34.98</t>
        </r>
      </text>
    </comment>
    <comment ref="X32" authorId="0" shapeId="0">
      <text>
        <r>
          <rPr>
            <sz val="11"/>
            <color theme="1"/>
            <rFont val="Calibri"/>
            <family val="2"/>
            <scheme val="minor"/>
          </rPr>
          <t>Madelin Nepomuceno:
20.10.25 Abono RD$300,000.00
10.12 Pago al corte RD$174,120.35
Gastos super: RD$5,812.28
Restando:
21/10 Claro RD$5,750.89
08/11 Telas cortinas sala/comedor y estudio RD$38,745
15/11 Pago plan CPC &amp; GPC RD$4,353.27</t>
        </r>
      </text>
    </comment>
    <comment ref="Y3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10.12 Pago balance a la fecha USD$67.52
</t>
        </r>
      </text>
    </comment>
    <comment ref="C33" authorId="0" shapeId="0">
      <text>
        <r>
          <rPr>
            <sz val="11"/>
            <color theme="1"/>
            <rFont val="Calibri"/>
            <family val="2"/>
            <scheme val="minor"/>
          </rPr>
          <t>Madelin Nepomuceno:
20/1 Pago TC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>Madelin Nepomuceno:
19/02 Pago TC</t>
        </r>
      </text>
    </comment>
    <comment ref="G33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21/03 Pago TC</t>
        </r>
      </text>
    </comment>
    <comment ref="I33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22/04 pago de tc
Restando:
17/03 Regalo Aniversario AMCR USD$7,037.71</t>
        </r>
      </text>
    </comment>
    <comment ref="K33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21/05 pago de tc</t>
        </r>
      </text>
    </comment>
    <comment ref="M33" authorId="0" shapeId="0">
      <text>
        <r>
          <rPr>
            <sz val="11"/>
            <color theme="1"/>
            <rFont val="Calibri"/>
            <family val="2"/>
            <scheme val="minor"/>
          </rPr>
          <t>Madelin Nepomuceno:
20/06 Pago TC US$15,241.50
Restando:
03/05 Pago póliza de vida AMCR USD$8,530.00</t>
        </r>
      </text>
    </comment>
    <comment ref="O33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17/07 Pago TC US$8,912.99
</t>
        </r>
      </text>
    </comment>
    <comment ref="Q33" authorId="0" shapeId="0">
      <text>
        <r>
          <rPr>
            <sz val="11"/>
            <color theme="1"/>
            <rFont val="Calibri"/>
            <family val="2"/>
            <scheme val="minor"/>
          </rPr>
          <t>Madelin Nepomuceno:
20/08 Pago TC</t>
        </r>
      </text>
    </comment>
    <comment ref="S33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22/09 Pago TC US$6,650.56
Restando:
07.08 Gastos fin de semana $2,119.20
18.08 Gastos fin de semana $250
26.08 Lampara Hab. niñas $310.63</t>
        </r>
      </text>
    </comment>
    <comment ref="U33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21/10 Pago TC US$1,234.06
Restando:
02/09 pago radiografia GPC US$82.56
</t>
        </r>
      </text>
    </comment>
    <comment ref="W33" authorId="1" shapeId="0">
      <text>
        <r>
          <rPr>
            <sz val="11"/>
            <color theme="1"/>
            <rFont val="Calibri"/>
            <family val="2"/>
            <scheme val="minor"/>
          </rPr>
          <t xml:space="preserve">Antonia Caceres:
menos regalo AMCR US$13,812.50
21/11 Pago TC US$22,690.70
</t>
        </r>
      </text>
    </comment>
    <comment ref="Y33" authorId="0" shapeId="0">
      <text>
        <r>
          <rPr>
            <sz val="11"/>
            <color theme="1"/>
            <rFont val="Calibri"/>
            <family val="2"/>
            <scheme val="minor"/>
          </rPr>
          <t>Madelin Nepomuceno:
22.12 Pago TC US$15,248.65
Restando: 
24.11 Airbnb gastos finde US$815.94
24.11 Cartier xmas US$2,906.96
24.11 Westelm Muebles casa US$2,675.86
25.11 SP Ritas reembolsado US$262.94</t>
        </r>
      </text>
    </comment>
    <comment ref="C34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20/1 Pago TC
</t>
        </r>
      </text>
    </comment>
    <comment ref="E34" authorId="0" shapeId="0">
      <text>
        <r>
          <rPr>
            <sz val="11"/>
            <color theme="1"/>
            <rFont val="Calibri"/>
            <family val="2"/>
            <scheme val="minor"/>
          </rPr>
          <t>Madelin Nepomuceno:
19/02 Pago TC</t>
        </r>
      </text>
    </comment>
    <comment ref="G34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21/03 Pago TC</t>
        </r>
      </text>
    </comment>
    <comment ref="I34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22/04 pago de tc
Restando:
07/03 Pago poliza de vida JMPP USD$7,912</t>
        </r>
      </text>
    </comment>
    <comment ref="K34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21/05 pago de tc</t>
        </r>
      </text>
    </comment>
    <comment ref="M34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20/06 Pago TC US$5,928.59
Restando:
02.05 Gastos fin de semana USD$1,349.77
</t>
        </r>
      </text>
    </comment>
    <comment ref="O34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17/07 Pago TC US$14,355.62
Restando:
APM USD$13,164.10
</t>
        </r>
      </text>
    </comment>
    <comment ref="Q34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21/08 Pago TC
Restado compra camas Joss &amp; Main US$3,871.26
APM USD$760</t>
        </r>
      </text>
    </comment>
    <comment ref="S34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24.09 Pago TC US$13,646.70
Restando:
APM USD$2,097.52
27.08 Art Light remodelación hab. niñas US$36.99
27.08 Tiradores coqueta remodelación hab. niñas US$52.49
</t>
        </r>
      </text>
    </comment>
    <comment ref="U34" authorId="0" shapeId="0">
      <text>
        <r>
          <rPr>
            <sz val="11"/>
            <color theme="1"/>
            <rFont val="Calibri"/>
            <family val="2"/>
            <scheme val="minor"/>
          </rPr>
          <t>Madelin Nepomuceno:
21/10 Pago TC US$12,741.82
Restando:
APM USD$1,281.04
Gastos Amazon cumple GPC US$467.03</t>
        </r>
      </text>
    </comment>
    <comment ref="W34" authorId="0" shapeId="0">
      <text>
        <r>
          <rPr>
            <sz val="11"/>
            <color theme="1"/>
            <rFont val="Calibri"/>
            <family val="2"/>
            <scheme val="minor"/>
          </rPr>
          <t>Madelin Nepomuceno:
24/11 Pago TC US$6,483.82
Restando:
APM USD$1,451.16</t>
        </r>
      </text>
    </comment>
    <comment ref="Y34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APM USD$1,505.14</t>
        </r>
      </text>
    </comment>
    <comment ref="B35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09/12 Pago abono RD$20,000
26/12 Pago RD$25,462
Restando:
Gastos super RD$22,594.94
Seguro EO RD$1,686.34
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Madelin Nepomuceno:
16/1 Pago abono RD$20,000
30/1 Pago abono RD$20,000
05/02 Crédito por promoción RD$1,004.4O
Restando:
Gastos super RD$42,351.32
Seguro EO RD$1,686.34</t>
        </r>
      </text>
    </comment>
    <comment ref="F35" authorId="0" shapeId="0">
      <text>
        <r>
          <rPr>
            <sz val="11"/>
            <color theme="1"/>
            <rFont val="Calibri"/>
            <family val="2"/>
            <scheme val="minor"/>
          </rPr>
          <t>Madelin Nepomuceno:
11/2 Pago abono RD$20,000
25/2 Pago abono RD$20,000
Restando:
Gastos super RD$17,333.30
Seguro EO RD$1,686.34</t>
        </r>
      </text>
    </comment>
    <comment ref="H35" authorId="0" shapeId="0">
      <text>
        <r>
          <rPr>
            <sz val="11"/>
            <color theme="1"/>
            <rFont val="Calibri"/>
            <family val="2"/>
            <scheme val="minor"/>
          </rPr>
          <t>Madelin Nepomuceno:
13/3 Pago abono RD$30,000
21/04 Pago al corte RD$28,675.95
Restando:
Gastos super RD$34,657.75
Seguro EO RD$1,686.34</t>
        </r>
      </text>
    </comment>
    <comment ref="J35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22/05 Pago RD$32,000
Restando:
Gastos super RD$1,425.21
Seguro EO RD$1,875.50
</t>
        </r>
      </text>
    </comment>
    <comment ref="L35" authorId="0" shapeId="0">
      <text>
        <r>
          <rPr>
            <sz val="11"/>
            <color theme="1"/>
            <rFont val="Calibri"/>
            <family val="2"/>
            <scheme val="minor"/>
          </rPr>
          <t>Madelin Nepomuceno:
30/06 Pago RD$11,287.00
Restando:
Gastos super RD$9,401.92
Seguro EO RD$1,875.50</t>
        </r>
      </text>
    </comment>
    <comment ref="N35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30/07 Pago RD$925.85
Restando:
Gastos super RD$2,678.44
Seguro EO RD$1,875.50
</t>
        </r>
      </text>
    </comment>
    <comment ref="P35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28/08 Pago al corte RD$14,284.33
Restando:
Gastos super RD$763
Seguro EO RD$1,875.50
</t>
        </r>
      </text>
    </comment>
    <comment ref="R35" authorId="0" shapeId="0">
      <text>
        <r>
          <rPr>
            <sz val="11"/>
            <color theme="1"/>
            <rFont val="Calibri"/>
            <family val="2"/>
            <scheme val="minor"/>
          </rPr>
          <t>Madelin Nepomuceno:
02/10 Pago balance al corte RD$10,538.42
Restando:
Gastos super RD$2,749
Seguro EO RD$1,875.50</t>
        </r>
      </text>
    </comment>
    <comment ref="T35" authorId="0" shapeId="0">
      <text>
        <r>
          <rPr>
            <sz val="11"/>
            <color theme="1"/>
            <rFont val="Calibri"/>
            <family val="2"/>
            <scheme val="minor"/>
          </rPr>
          <t>Madelin Nepomuceno:
30/10 Pago balance al corte RD$20,591.40
Restando:
Gastos super RD$8,891.91
Seguro EO RD$1,875.50</t>
        </r>
      </text>
    </comment>
    <comment ref="V35" authorId="0" shapeId="0">
      <text>
        <r>
          <rPr>
            <sz val="11"/>
            <color theme="1"/>
            <rFont val="Calibri"/>
            <family val="2"/>
            <scheme val="minor"/>
          </rPr>
          <t>Madelin Nepomuceno:
01/12 Pago balance al corte RD$15,371.72
Restando:
Gastos super RD$1,965.48</t>
        </r>
      </text>
    </comment>
    <comment ref="X35" authorId="0" shapeId="0">
      <text>
        <r>
          <rPr>
            <sz val="11"/>
            <color theme="1"/>
            <rFont val="Calibri"/>
            <family val="2"/>
            <scheme val="minor"/>
          </rPr>
          <t>Madelin Nepomuceno:
30.12 Pago al corte RD$14,000
Restando:
Gastos super RD$490.65</t>
        </r>
      </text>
    </comment>
    <comment ref="C36" authorId="0" shapeId="0">
      <text>
        <r>
          <rPr>
            <sz val="11"/>
            <color theme="1"/>
            <rFont val="Calibri"/>
            <family val="2"/>
            <scheme val="minor"/>
          </rPr>
          <t>Madelin Nepomuceno:
30/1 Pago TC</t>
        </r>
      </text>
    </comment>
    <comment ref="G36" authorId="0" shapeId="0">
      <text>
        <r>
          <rPr>
            <sz val="11"/>
            <color theme="1"/>
            <rFont val="Calibri"/>
            <family val="2"/>
            <scheme val="minor"/>
          </rPr>
          <t>Madelin Nepomuceno:
07/03 Pago TC</t>
        </r>
      </text>
    </comment>
    <comment ref="I36" authorId="0" shapeId="0">
      <text>
        <r>
          <rPr>
            <sz val="11"/>
            <color theme="1"/>
            <rFont val="Calibri"/>
            <family val="2"/>
            <scheme val="minor"/>
          </rPr>
          <t>Madelin Nepomuceno:
Balance al corte en 0.</t>
        </r>
      </text>
    </comment>
    <comment ref="Y36" authorId="0" shapeId="0">
      <text>
        <r>
          <rPr>
            <sz val="11"/>
            <color theme="1"/>
            <rFont val="Calibri"/>
            <family val="2"/>
            <scheme val="minor"/>
          </rPr>
          <t>Madelin Nepomuceno:
30.12 Pago al corte US$285</t>
        </r>
      </text>
    </comment>
    <comment ref="H37" authorId="0" shapeId="0">
      <text>
        <r>
          <rPr>
            <sz val="11"/>
            <color theme="1"/>
            <rFont val="Calibri"/>
            <family val="2"/>
            <scheme val="minor"/>
          </rPr>
          <t>Madelin Nepomuceno:
21/04 Pago al corte RD$37,952.76
Restando:
Gastos super RD$35,124.89</t>
        </r>
      </text>
    </comment>
    <comment ref="J37" authorId="0" shapeId="0">
      <text>
        <r>
          <rPr>
            <sz val="11"/>
            <color theme="1"/>
            <rFont val="Calibri"/>
            <family val="2"/>
            <scheme val="minor"/>
          </rPr>
          <t>Madelin Nepomuceno:
06/05 Abono RD$50,000
13/05 Abono RD$30,844.42
22/05 Pago RD$45,777.15
Restando:
Gastos super RD$45,108.26</t>
        </r>
      </text>
    </comment>
    <comment ref="L37" authorId="0" shapeId="0">
      <text>
        <r>
          <rPr>
            <sz val="11"/>
            <color theme="1"/>
            <rFont val="Calibri"/>
            <family val="2"/>
            <scheme val="minor"/>
          </rPr>
          <t>Madelin Nepomuceno:
30/6 Pago balance al corte RD$48,866.77
Restando:
Gastos super RD$91,945.66</t>
        </r>
      </text>
    </comment>
    <comment ref="N37" authorId="0" shapeId="0">
      <text>
        <r>
          <rPr>
            <sz val="11"/>
            <color theme="1"/>
            <rFont val="Calibri"/>
            <family val="2"/>
            <scheme val="minor"/>
          </rPr>
          <t>Madelin Nepomuceno:
30/7 Pago balance al corte RD$43,529.70
Restando:
Gastos super RD$31,635.10</t>
        </r>
      </text>
    </comment>
    <comment ref="P37" authorId="0" shapeId="0">
      <text>
        <r>
          <rPr>
            <sz val="11"/>
            <color theme="1"/>
            <rFont val="Calibri"/>
            <family val="2"/>
            <scheme val="minor"/>
          </rPr>
          <t>Madelin Nepomuceno:
22/8 Pago balance al corte RD$50,914.56
Restando:
Gastos super RD$21,739.57</t>
        </r>
      </text>
    </comment>
    <comment ref="R37" authorId="0" shapeId="0">
      <text>
        <r>
          <rPr>
            <sz val="11"/>
            <color theme="1"/>
            <rFont val="Calibri"/>
            <family val="2"/>
            <scheme val="minor"/>
          </rPr>
          <t>Madelin Nepomuceno:
09/09 Abono TC RD$45,000
02/10 Pago pendiente balance al corte RD$44,696.75
Restando:
Gastos super RD$53,037.74
13/08 Uniformes CPC &amp; GPC RD$13,350
14/08 Sirena Market RD$4,854.17
15/08 Vili S Cookies RD$1,950
30/08 Regalo Zara RD$6,000  - reembolso RD$3,000</t>
        </r>
      </text>
    </comment>
    <comment ref="T37" authorId="0" shapeId="0">
      <text>
        <r>
          <rPr>
            <sz val="11"/>
            <color theme="1"/>
            <rFont val="Calibri"/>
            <family val="2"/>
            <scheme val="minor"/>
          </rPr>
          <t>Madelin Nepomuceno:
16/10 Pago balance al corte RD$64,554.41
Restando:
Gastos super RD$53,587.13
23/09 Cookies Cumple GPC RD$2,750
24/09 Lets party Vasos Cumple GPC RD$930
24/09 Noah de bari vela cumple GPC RD$236</t>
        </r>
      </text>
    </comment>
    <comment ref="V37" authorId="0" shapeId="0">
      <text>
        <r>
          <rPr>
            <sz val="11"/>
            <color theme="1"/>
            <rFont val="Calibri"/>
            <family val="2"/>
            <scheme val="minor"/>
          </rPr>
          <t>Madelin Nepomuceno:
07.11 Abono RD$50,000
01.12 Pago restante balance al corte RD$23,556.10
Restando:
Gastos super RD$69,878.25
01.11 Lavanderia cortinas RD$8,142.00
05.11 Pago Mali gastos fin de semana RD$12,980</t>
        </r>
      </text>
    </comment>
    <comment ref="X37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20.11 Abono RD$40,000
</t>
        </r>
        <r>
          <rPr>
            <sz val="11"/>
            <color rgb="FF000000"/>
            <rFont val="Calibri"/>
            <family val="2"/>
          </rPr>
          <t xml:space="preserve">15.12 Pago balance al corte RD$82,404.55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Restando: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Gastos super RD$52,626.89
</t>
        </r>
        <r>
          <rPr>
            <sz val="11"/>
            <color rgb="FF000000"/>
            <rFont val="Calibri"/>
            <family val="2"/>
          </rPr>
          <t xml:space="preserve">18.11 Renovacion Arma EO RD$5,850
</t>
        </r>
        <r>
          <rPr>
            <sz val="11"/>
            <color rgb="FF000000"/>
            <rFont val="Calibri"/>
            <family val="2"/>
          </rPr>
          <t xml:space="preserve">04.12 Total on the boulevar RD$5,033.40- Reembolso  CA RD$5,033.40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C38" authorId="0" shapeId="0">
      <text>
        <r>
          <rPr>
            <sz val="11"/>
            <color theme="1"/>
            <rFont val="Calibri"/>
            <family val="2"/>
            <scheme val="minor"/>
          </rPr>
          <t>Madelin Nepomuceno:
06.01 Uber US$31.77
06.01 Uber US$22.33
06.01 Uber US$13.77
07.01 Uber US$114.97
07.01 Uber US$19.37
22.01 Adobe US$19.99</t>
        </r>
      </text>
    </comment>
    <comment ref="E38" authorId="0" shapeId="0">
      <text>
        <r>
          <rPr>
            <sz val="11"/>
            <color theme="1"/>
            <rFont val="Calibri"/>
            <family val="2"/>
            <scheme val="minor"/>
          </rPr>
          <t>Madelin Nepomuceno:
24.02 Adobe US$19.99</t>
        </r>
      </text>
    </comment>
    <comment ref="G38" authorId="0" shapeId="0">
      <text>
        <r>
          <rPr>
            <sz val="11"/>
            <color theme="1"/>
            <rFont val="Calibri"/>
            <family val="2"/>
            <scheme val="minor"/>
          </rPr>
          <t>Madelin Nepomuceno:
17.03 Uber US$16.42
17.03 Uber US$16.42
17.03 Uber US$15.61
17.03 Uber US$8.49
17.03 Uber US$1.14
18.03 Farfetch US$548.91
19.03 Uber US$10.19
21.03 Uber US$15.89
21.03 Uber US$7.93
24.03 Adobe US$19.99
28.03 Uber US$6.56</t>
        </r>
      </text>
    </comment>
    <comment ref="I38" authorId="0" shapeId="0">
      <text>
        <r>
          <rPr>
            <sz val="11"/>
            <color theme="1"/>
            <rFont val="Calibri"/>
            <family val="2"/>
            <scheme val="minor"/>
          </rPr>
          <t>Madelin Nepomuceno:
02.04 Gil US$16
17.04 Uber Eats US$44.82
17.04 Uber Eats US$4.92
21.04 Uber Eats US$104.97
21.04 Uber Eats US$27.24
21.04 Uber Eats US$9.43
21.04 Uber Eats US$2.17
22.04 Nordstrom US$105.93
25.04 Adobe US$19.99</t>
        </r>
      </text>
    </comment>
    <comment ref="K38" authorId="0" shapeId="0">
      <text>
        <r>
          <rPr>
            <sz val="11"/>
            <color theme="1"/>
            <rFont val="Calibri"/>
            <family val="2"/>
            <scheme val="minor"/>
          </rPr>
          <t>Madelin Nepomuceno:
05.05 Uber US$7.04
19.05 Farfetch US$411.95
22.05 Adobe US$19.99
30.05 Farfetch US$363.80</t>
        </r>
      </text>
    </comment>
    <comment ref="M38" authorId="0" shapeId="0">
      <text>
        <r>
          <rPr>
            <sz val="11"/>
            <color theme="1"/>
            <rFont val="Calibri"/>
            <family val="2"/>
            <scheme val="minor"/>
          </rPr>
          <t>Madelin Nepomuceno:
09.06 Uber US$34.47
09.06 Uber US$7.02
23.06 Adobe US$19.99</t>
        </r>
      </text>
    </comment>
    <comment ref="O38" authorId="0" shapeId="0">
      <text>
        <r>
          <rPr>
            <sz val="11"/>
            <color theme="1"/>
            <rFont val="Calibri"/>
            <family val="2"/>
            <scheme val="minor"/>
          </rPr>
          <t>Madelin Nepomuceno:
14.07 Farfetch US$260.01
22.07 Adobe US$19.99</t>
        </r>
      </text>
    </comment>
    <comment ref="Q38" authorId="0" shapeId="0">
      <text>
        <r>
          <rPr>
            <sz val="11"/>
            <color theme="1"/>
            <rFont val="Calibri"/>
            <family val="2"/>
            <scheme val="minor"/>
          </rPr>
          <t>Madelin Nepomuceno:
08.08 Farfetch US$499.05
22.08 Adobe US$19.99</t>
        </r>
      </text>
    </comment>
    <comment ref="S38" authorId="0" shapeId="0">
      <text>
        <r>
          <rPr>
            <sz val="11"/>
            <color theme="1"/>
            <rFont val="Calibri"/>
            <family val="2"/>
            <scheme val="minor"/>
          </rPr>
          <t>Madelin Nepomuceno:
02.09 Farfetch US$517.88
22.09 Adobe US$19.99</t>
        </r>
      </text>
    </comment>
    <comment ref="U38" authorId="0" shapeId="0">
      <text>
        <r>
          <rPr>
            <sz val="11"/>
            <color theme="1"/>
            <rFont val="Calibri"/>
            <family val="2"/>
            <scheme val="minor"/>
          </rPr>
          <t>Madelin Nepomuceno:
08.10 Farfetch US$553.73
22.10 Adobe US$19.99</t>
        </r>
      </text>
    </comment>
    <comment ref="W3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03.11 Farfetch US$1,417.76
03.11 Farfetch US$348.29
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Madelin Nepomuceno:
17/02 Regalo cool moms</t>
        </r>
      </text>
    </comment>
    <comment ref="F41" authorId="0" shapeId="0">
      <text>
        <r>
          <rPr>
            <sz val="11"/>
            <color theme="1"/>
            <rFont val="Calibri"/>
            <family val="2"/>
            <scheme val="minor"/>
          </rPr>
          <t>Madelin Nepomuceno:
Regalo CPC
04/03 Regalo Cool moms Anier
25/03 Regalo Cool moms Eli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COMPRA ANILLO ANIVERSARIO AMCR MENOS DETAX
</t>
        </r>
      </text>
    </comment>
    <comment ref="J41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22/05 Regalo amiga Graciela
26/05 Regalo madre</t>
        </r>
      </text>
    </comment>
    <comment ref="K4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22/05 Regalo de madre Cris USD$600
</t>
        </r>
      </text>
    </comment>
    <comment ref="M4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11/06 Abono regalo AMCR USD$4,500
18/06 Regalo fotos bautizo Cristina Perez USD$650
</t>
        </r>
      </text>
    </comment>
    <comment ref="N41" authorId="0" shapeId="0">
      <text>
        <r>
          <rPr>
            <sz val="11"/>
            <color theme="1"/>
            <rFont val="Calibri"/>
            <family val="2"/>
            <scheme val="minor"/>
          </rPr>
          <t>Madelin Nepomuceno:
23/05 Regalo de madre</t>
        </r>
      </text>
    </comment>
    <comment ref="O41" authorId="1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22/7 saldo compra collar $3.900.00
</t>
        </r>
      </text>
    </comment>
    <comment ref="R41" authorId="0" shapeId="0">
      <text>
        <r>
          <rPr>
            <sz val="11"/>
            <color theme="1"/>
            <rFont val="Calibri"/>
            <family val="2"/>
            <scheme val="minor"/>
          </rPr>
          <t>Madelin Nepomuceno:
30/08 Regalo Zara RD$6,000- reembolso RD$3,000</t>
        </r>
      </text>
    </comment>
    <comment ref="W41" authorId="1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regalo cumple AMCR
</t>
        </r>
      </text>
    </comment>
    <comment ref="Y41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02.12 Regalos Xmas Amig@s US$420
</t>
        </r>
        <r>
          <rPr>
            <sz val="11"/>
            <color rgb="FF000000"/>
            <rFont val="Calibri"/>
            <family val="2"/>
          </rPr>
          <t xml:space="preserve">24.11 Cartier xmas US$2,906.96
</t>
        </r>
        <r>
          <rPr>
            <sz val="11"/>
            <color rgb="FF000000"/>
            <rFont val="Calibri"/>
            <family val="2"/>
          </rPr>
          <t xml:space="preserve">23/12 artes niñas de mami y papi $1,280
</t>
        </r>
        <r>
          <rPr>
            <sz val="11"/>
            <color rgb="FF000000"/>
            <rFont val="Calibri"/>
            <family val="2"/>
          </rPr>
          <t xml:space="preserve">24/12 regalo Malia vest fur $1,000.00
</t>
        </r>
      </text>
    </comment>
    <comment ref="B4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27/12 Dr. Hector Luis RD$15,000 CPC -reembolso RD$11,250
13/1 Praxis RD$4,000 CPC - Reemblso 14.02 RD$3,600
22/1 Praxis RD$4,000 CPC- Reemblso 14.02 RD$3,600
Restando reembolsos
RD$11,250 correspondiente a 27.12
14.02 RD$3,600 correspondiente a 13.01
14.02 RD$3,600 correspondiente a 22.1
</t>
        </r>
      </text>
    </comment>
    <comment ref="D4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20/1 Laboratorios Braca RD$10,500 - reembolso RD$8,370
03/2 Praxis RD$4,000 CPC- Reembolso RD$3,600
10/2 Praxis RD$4,000 CPC- Reembolso RD$3,600
13/2 Dra. Wendy Santos RD$4,000 AMCR- Reemblso RD$3,600
17/2 Praxis RD$4,000 CPC- Reembolso RD$3,600
24/2 Praxis RD$4,000 CPC- Reembolso RD$3,600
Restando reembolsos
22.01 RD$8,370 correspondiente al 20.01
14.02 RD$3,600 correspondiente a 03.02
17.02 RD$3,600 correspondiente a 10.02
18.02 RD$3,600 correspondiente a 13.02
18.02 RD$3,600 correspondiente a 17.02
28.02 RD$3,600 correspondiente a 24.02
</t>
        </r>
      </text>
    </comment>
    <comment ref="F42" authorId="0" shapeId="0">
      <text>
        <r>
          <rPr>
            <sz val="11"/>
            <color theme="1"/>
            <rFont val="Calibri"/>
            <family val="2"/>
            <scheme val="minor"/>
          </rPr>
          <t>Madelin Nepomuceno:
12/2 Dr. Hector Luis CPC RD$11,507 - Reembolso RD$10,358.3
11/03 Servicios Pediatricos GPC &amp; CPC RD$22,500 - reembolso RD$20,250
26/03 Gastro AMCR &amp; JMPP RD$20,000 - reembolso RD$18,000
26/03 Praxis RD$4,000 CPC - reembolso RD$3,600
Restando reembolsos
21.02 RD$10,358.30 correspondiente a 12.02
18.03 RD$20,250 correspondiente a 11.03
28.03 RD$18,000 correspondiente a 26.03
31.03 RD$3,600 correspondiente a 26.03</t>
        </r>
      </text>
    </comment>
    <comment ref="H42" authorId="0" shapeId="0">
      <text>
        <r>
          <rPr>
            <sz val="11"/>
            <color theme="1"/>
            <rFont val="Calibri"/>
            <family val="2"/>
            <scheme val="minor"/>
          </rPr>
          <t>Madelin Nepomuceno:
24/02 Dr Hecto Luis Rodriguez AMCR RD$9,100 - reembolso 28/02 RD$8,190.
10/03 Dr Hecto Luis Rodriguez CPC RD$12,758.5 - reembolso 12/03 RD$10,464.53.
09/04 Pago Praxis CPC RD$4,000- reembolso 14/04 RD$3,600.
23/04 Pago Praxis CPC RD$4,000 - reembolso 02/05 RD$3,600
Restando reembolsos
28.02 RD$8,190 correspondiente a 24.02
12.03 RD$10,464.53 correspondiente a 10.03
14.04 RD$3,600 correspondiente a 09.04
23.04 RD$3,600 correspondiente a 02.05</t>
        </r>
      </text>
    </comment>
    <comment ref="J4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26/03 Panel Gastro RD$9,690 - reembolso RD$4,845
28/03 Analisis AMCR RD$1,135
28/03 Analisis JMPP y domicilio RD$1,635
02/04 Ortoplan CPC RD$6,700 - reembolso RD$3,700
04/04 Ortoplan AMCR RD$12,000 reembolso RD$10,800
06/05 Colonoscopia y Gastro JMPP RD$258,000.00 - reembolso RD$232,200.00
06/05 Colonoscopia y Gastro AMCR RD$218,405.00 - reembolso RD$196,564.50
28/05 Pago Praxis CPC RD$4,000- reembolso RD$3,400
Restando reembolsos
03.04 RD$3,700 correspondiente a 02.04
10.04 RD$10,800 correspondiente a 04.04
25.04 RD$4,845 correspondiente a 26.03
26.05 RD$196,564.50 correspondiente a 06.05
02.06 RD$3,600 correspondiente a 28.05
04.06 RD$232,200 correspondiente a 06.05
</t>
        </r>
      </text>
    </comment>
    <comment ref="L4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22/04 Ortoplan CPC RD$13,536.20 - reembolso RD$10,198.08
30/04 Prueba JMPP RD$5,000 - reembolso RD$4,500
01/05 Prueba JMPP RD$5,000
03/05 Prueba JMPP RD$5,000 - reembolso RD$4,500
09/05 Ortoplan CPC RD$11,211 - reembolso RD$10,089.90
Restando reembolsos
24.04 RD$10,198.08 correspondiente a 22.04
13.05 RD$10,089.90 correspondiente a 09.05
16.05 RD$4,500 correspondiente a 30.04
16.05 RD$4,500 correspondiente a 03.05
</t>
        </r>
      </text>
    </comment>
    <comment ref="N42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11/06 Ortoplan CPC RD$12,281.50 - reembolso RD$10,073.25
Restando reembolsos
12.06 RD$10,073.25 correspondiente a 11.06</t>
        </r>
      </text>
    </comment>
    <comment ref="P42" authorId="0" shapeId="0">
      <text>
        <r>
          <rPr>
            <sz val="11"/>
            <color theme="1"/>
            <rFont val="Calibri"/>
            <family val="2"/>
            <scheme val="minor"/>
          </rPr>
          <t>Madelin Nepomuceno:
10/07 Ortoplan CPC RD$11,238.70 - reembolso RD$10,114.83
14/07 Ortoplan AMCR RD$6,000- reembolso RD$5,400
Restando reembolsos
14.07 RD$10,114.83 correspondiente a 10.07
21.07 RD$5,400 correspondiente a 14.07</t>
        </r>
      </text>
    </comment>
    <comment ref="R42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11/08 Ortoplan CPC RD$13,450.60 - reembolso RD$10,273.05
12/08 Limpieza CPC RD$4,700 - reembolso RD$4,230
13/08 Consulta periodotal CPC RD$3,000 - reembolso RD$2,700
25.08 Ortoplan CPC RD$45,600 - reembolsado RD$25,920
Restando reembolsos
15.08 RD$10,273.05 correspondiente a 11.08
25.08 RD$4,230 correspondiente a 12.08
25.08 RD$2,700 correspondiente a 13.08
01.09 RD$25,920 correspondiente a 25.08</t>
        </r>
      </text>
    </comment>
    <comment ref="T42" authorId="0" shapeId="0">
      <text>
        <r>
          <rPr>
            <sz val="11"/>
            <color theme="1"/>
            <rFont val="Calibri"/>
            <family val="2"/>
            <scheme val="minor"/>
          </rPr>
          <t>Madelin Nepomuceno:
11/09 Ortoplan CPC RD$11,821.50 - reembolso RD$10,639.35
Restando reembolsos
16.09 RD$10,639.35 correspondiente a 11.09</t>
        </r>
      </text>
    </comment>
    <comment ref="U42" authorId="0" shapeId="0">
      <text>
        <r>
          <rPr>
            <sz val="11"/>
            <color theme="1"/>
            <rFont val="Calibri"/>
            <family val="2"/>
            <scheme val="minor"/>
          </rPr>
          <t>Madelin Nepomuceno:
02/09 pago radiografia GPC US$82.56</t>
        </r>
      </text>
    </comment>
    <comment ref="V42" authorId="0" shapeId="0">
      <text>
        <r>
          <rPr>
            <sz val="11"/>
            <color theme="1"/>
            <rFont val="Calibri"/>
            <family val="2"/>
            <scheme val="minor"/>
          </rPr>
          <t>Madelin Nepomuceno:
11/10 Ortoplan CPC RD$11,729 - reembolso RD$10,556.10
31.10 Dentista GPC RD$1,500- reembolso RD$1,350
03.11 Dentista GPC RD$6,700- reembolso RD$6,030
Restando reembolsos
22.10 RD$10,556.10 correspondiente a 11.10
31.10 RD$1,350 correspondiente a 31.10
03.11 RD$6,030 correspondiente a 03.11</t>
        </r>
      </text>
    </comment>
    <comment ref="X42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07.11 Dentista AMCR RD$4,500
</t>
        </r>
        <r>
          <rPr>
            <sz val="11"/>
            <color rgb="FF000000"/>
            <rFont val="Calibri"/>
            <family val="2"/>
          </rPr>
          <t xml:space="preserve">14.11 Ortoplan RD$11,951 - reembolso RD$10,755.90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01.12 Ortoplan GPC RD$8,000 - reembolso RD$5,000
</t>
        </r>
        <r>
          <rPr>
            <sz val="11"/>
            <color rgb="FF000000"/>
            <rFont val="Calibri"/>
            <family val="2"/>
          </rPr>
          <t xml:space="preserve">03.12 Womens Care AMCR RD$8,000 - reembolso RD$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Restando reembolsos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14.11 RD$10,755.90 correspondiente a 14.11
</t>
        </r>
        <r>
          <rPr>
            <sz val="11"/>
            <color rgb="FF000000"/>
            <rFont val="Calibri"/>
            <family val="2"/>
          </rPr>
          <t>08.12 RD$5,000 correspondiente a 01.12</t>
        </r>
      </text>
    </comment>
    <comment ref="X43" authorId="0" shapeId="0">
      <text>
        <r>
          <rPr>
            <sz val="11"/>
            <color rgb="FF000000"/>
            <rFont val="Calibri"/>
            <family val="2"/>
          </rPr>
          <t xml:space="preserve">Madelin Nepomuceno: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19.11 Vv Autos Showroom Moviti Fiat RD$44,178.82 - reembolsado por CA</t>
        </r>
      </text>
    </comment>
    <comment ref="D44" authorId="0" shapeId="0">
      <text>
        <r>
          <rPr>
            <sz val="11"/>
            <color theme="1"/>
            <rFont val="Calibri"/>
            <family val="2"/>
            <scheme val="minor"/>
          </rPr>
          <t>Madelin Nepomuceno:
03/2 Abono cumple CPC
10/2 Completivo cumple</t>
        </r>
      </text>
    </comment>
    <comment ref="F44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Restaurante CPC</t>
        </r>
      </text>
    </comment>
    <comment ref="R44" authorId="0" shapeId="0">
      <text>
        <r>
          <rPr>
            <sz val="11"/>
            <color theme="1"/>
            <rFont val="Calibri"/>
            <family val="2"/>
            <scheme val="minor"/>
          </rPr>
          <t>Madelin Nepomuceno:
03/09 Alquileres cumple GPC RD$4,625
03/09 Abono cotizacion wowo RD$11,550
17/09 Saldo cotizacion Carmen RD$52,840
21/09 Abono 50% Pizza cumple GPC RD$10,000
22/09 Botellas de agua decoradas RD$1,500
23/09 Vaso adicional decorado RD$1,132
25/09 Saldo wowo RD$11,460</t>
        </r>
      </text>
    </comment>
    <comment ref="T44" authorId="0" shapeId="0">
      <text>
        <r>
          <rPr>
            <sz val="11"/>
            <color theme="1"/>
            <rFont val="Calibri"/>
            <family val="2"/>
            <scheme val="minor"/>
          </rPr>
          <t>Madelin Nepomuceno:
25/09 Helados Bon RD$4,888.50
23/09 Cookies Cumple GPC RD$2,750
24/09 Lets party Vasos Cumple GPC RD$930
24/09 Noah de bari vela cumple GPC RD$236
02/10 Saldo Pizza Cumple GPC RD$12,000</t>
        </r>
      </text>
    </comment>
    <comment ref="U44" authorId="0" shapeId="0">
      <text>
        <r>
          <rPr>
            <sz val="11"/>
            <color theme="1"/>
            <rFont val="Calibri"/>
            <family val="2"/>
            <scheme val="minor"/>
          </rPr>
          <t>Madelin Nepomuceno:
Gastos Amazon cumple GPC US$467.03</t>
        </r>
      </text>
    </comment>
    <comment ref="V44" authorId="0" shapeId="0">
      <text>
        <r>
          <rPr>
            <sz val="11"/>
            <color theme="1"/>
            <rFont val="Calibri"/>
            <family val="2"/>
            <scheme val="minor"/>
          </rPr>
          <t>Madelin Nepomuceno:
22/09 Dulces cumple Pricesmart GPC RD$8,962
23/09 Lets party desechables Cumple GPC RD$4,135
24/09 Uber galletas RD$56.27
24/09 Pedidos ya tips RD$40
25/09 Pedidos ya suspiritos RD$2,320</t>
        </r>
      </text>
    </comment>
    <comment ref="V45" authorId="0" shapeId="0">
      <text>
        <r>
          <rPr>
            <sz val="11"/>
            <color theme="1"/>
            <rFont val="Calibri"/>
            <family val="2"/>
            <scheme val="minor"/>
          </rPr>
          <t>Madelin Nepomuceno:
03.11 Clases de entrenador JMPP RD$10,500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Madelin Nepomuceno:</t>
        </r>
        <r>
          <rPr>
            <sz val="9"/>
            <color indexed="81"/>
            <rFont val="Tahoma"/>
            <family val="2"/>
          </rPr>
          <t xml:space="preserve">
29/11 Bonjour Total Arenoso RD$595
29/11 Beluga Beach Club, Las Terrenas RD$5,000
30/11 Beach Club RD$9,637.97
30/11 Komida RD$1,445</t>
        </r>
      </text>
    </comment>
    <comment ref="D46" authorId="0" shapeId="0">
      <text>
        <r>
          <rPr>
            <sz val="11"/>
            <color theme="1"/>
            <rFont val="Calibri"/>
            <family val="2"/>
            <scheme val="minor"/>
          </rPr>
          <t>Madelin Nepomuceno:
28/2 Tuva</t>
        </r>
      </text>
    </comment>
    <comment ref="H46" authorId="0" shapeId="0">
      <text>
        <r>
          <rPr>
            <sz val="11"/>
            <color theme="1"/>
            <rFont val="Calibri"/>
            <family val="2"/>
            <scheme val="minor"/>
          </rPr>
          <t>Madelin Nepomuceno:
27/02 Tipico Bonao Norte RD$5,386.29
27/02 Ultravioleta Hotel Res, Sosua RD$72,986.88
28/02 Pedidos Ya RD$910
28/02 Pedidos Ya RD$425
28/02 Supermercado playero Sosua RD$3,728.65
01/03 Vagamundo Coffe Puerto plata RD$2,090
01/03 Vagamundo Coffe Puerto plata RD$270
01/03 Restaurant Waterfront puerto plata RD$3,140.02
01/03 Esso Cabarete Sosua RD$605
08/03 Ultravioleta Boutique, Puerto Plata RD$2,650</t>
        </r>
      </text>
    </comment>
    <comment ref="K4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Gastos fin de semana:
06/05 Ocean Club Travel 9236006, New york, US$800</t>
        </r>
      </text>
    </comment>
    <comment ref="L46" authorId="0" shapeId="0">
      <text>
        <r>
          <rPr>
            <sz val="11"/>
            <color theme="1"/>
            <rFont val="Calibri"/>
            <family val="2"/>
            <scheme val="minor"/>
          </rPr>
          <t>Madelin Nepomuceno:
03/05 Italian Market RD$5,339.78
03/05 Pasta Factory Mezzalun RD$4,049
06/05 The Ocean Club Costa N RD$13,772.40</t>
        </r>
      </text>
    </comment>
    <comment ref="N4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10.07 Pago tabla quesos viaje anguila 
10.07 Pago Paula - Gastos fin de semana RD$1,200
</t>
        </r>
      </text>
    </comment>
    <comment ref="P4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11.07 Sirena Churchill RD$1,125.40
11.07 Candela Cuisine Lp RD$1,600.08
11.07 Vilis Cookies Lp RD$1,300
11.07 Uber Eats RD$1,984
12.07 Almacenes Unidos RD$339
12.07 Tipico Bonao La Romana RD$2,986.26
14.07 Il Capo RD$1,168.20
14.07 Shibuya Casa de Campo RD$10,736
15.07 Superm Nacional Marina Ch, La Romana RD$2,650.98
08.08 Restaurante Tuva RD$12,399
14.08 Alquiler carrito Golf RD$5,580
15.08 Reembolso a JMPP RD$25,000
16.08 Pago Tabla de quesos RD$2,000 
</t>
        </r>
      </text>
    </comment>
    <comment ref="R4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11.08 Sagrario Hernandez RD$3,745
11.08 Tipico bonao RD$849.60
11.08 Restaurant Water Front RD$7,289.97
11.08 Restaurant Water Front RD$6,120.01
11.08 Supermercado Playero RD$9,366.37
12/08 Ultra Violeta Hotel, PP RD$310
13/08 Dowtown Vip RD$1,700
13/08 Dowtown Center I RD$1,350
13/08 Dowtown Center I RD$460
14/08 Cafe Marieta RD$10,469.28
14/08 El Mercadito RD$2,850
14/08 Uber Eats RD$1,858
14/08 Sirena Market RD$4,854.17
15/08 Vili S Cookies RD$1,950
15/08 El Catador RD$14,513.95
15/08 Jumbo La Romana RD$14,042.02
</t>
        </r>
      </text>
    </comment>
    <comment ref="S46" authorId="0" shapeId="0">
      <text>
        <r>
          <rPr>
            <sz val="11"/>
            <color theme="1"/>
            <rFont val="Calibri"/>
            <family val="2"/>
            <scheme val="minor"/>
          </rPr>
          <t>Madelin Nepomuceno:
07.08 Gastos fin de semana $2,119.20
18.08 Gastos fin de semana $250</t>
        </r>
      </text>
    </comment>
    <comment ref="T46" authorId="0" shapeId="0">
      <text>
        <r>
          <rPr>
            <sz val="11"/>
            <color theme="1"/>
            <rFont val="Calibri"/>
            <family val="2"/>
            <scheme val="minor"/>
          </rPr>
          <t>Madelin Nepomuceno:
18.08 Casa de campo RD$14,500</t>
        </r>
      </text>
    </comment>
    <comment ref="V46" authorId="0" shapeId="0">
      <text>
        <r>
          <rPr>
            <sz val="11"/>
            <color theme="1"/>
            <rFont val="Calibri"/>
            <family val="2"/>
            <scheme val="minor"/>
          </rPr>
          <t>Madelin Nepomuceno:
05.11 Pago Paula vega picadera RD$3,200
05.11 Pago Olivebites picadera RD$11,592.32
05.11 Pago Mali gastos fin de semana RD$12,980</t>
        </r>
      </text>
    </comment>
    <comment ref="Y46" authorId="0" shapeId="0">
      <text>
        <r>
          <rPr>
            <sz val="11"/>
            <color theme="1"/>
            <rFont val="Calibri"/>
            <family val="2"/>
            <scheme val="minor"/>
          </rPr>
          <t>Madelin Nepomuceno:
24.11 Airbnb gastos finde US$815.94</t>
        </r>
      </text>
    </comment>
    <comment ref="H48" authorId="0" shapeId="0">
      <text>
        <r>
          <rPr>
            <sz val="11"/>
            <color theme="1"/>
            <rFont val="Calibri"/>
            <family val="2"/>
            <scheme val="minor"/>
          </rPr>
          <t>Madelin Nepomuceno:
25/04 Pagos impuesto Mountford:
Primer pago DGII 85,131.80
Segundo pago DGII85,131.80
25/04 Pago Residuos sólidos RD$575</t>
        </r>
      </text>
    </comment>
    <comment ref="B49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09/01 Propina super y aguacate RD$300
15/01 Efectivo AMCR RD$2,000
15/01 Efectivo AMCR RD$500
20/01 Compra de suero y galleta RD$340
23/01 Propina super RD$100
27/01 Propina super RD$50
28/01 Propina super RD$50
29/01 Propina trabajadores RD$200
</t>
        </r>
      </text>
    </comment>
    <comment ref="D49" authorId="0" shapeId="0">
      <text>
        <r>
          <rPr>
            <sz val="11"/>
            <color theme="1"/>
            <rFont val="Calibri"/>
            <family val="2"/>
            <scheme val="minor"/>
          </rPr>
          <t>Madelin Nepomuceno:
03/02 Efectivo AMCR RD$2,000
03/02 Compra medicamento sedoxil RD$925
04/02 Taxi EO RD$300
05/02 Propina super RD$100
11/02 Varios EO RD$400
14/02 Efectivo AMCR RD$1,000
17/02 Compra diario AMCR RD$400
18/02 Propina super RD$50
21/02 Varios EO RD$730
26/02 Propina super RD$50</t>
        </r>
      </text>
    </comment>
    <comment ref="F49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06/03 Compra de papita CPC RD$115
08/03 COMPRA DE AGUACATE Y 2 PROPINA SUPER RD$300
10/03 COMPRA DE PASTA AMCR RD$240
13/03 PROPINA SUPER RD$50
14/03 EFECTIVO POR VIAJE AMCR RD$5,000
21/03 PROPINA SUPER $50
25/03 EFECTIVO AMCR RD$2,000
26/04 COMPRA DE GALLETA Y SUERO RD$400
26/03 2 PROPINA SUPER RD$100
26/03 REGALO PROFESORA CPC BARCA RD$550
28/03 EFECTIVO Y PROPINA SUPER RD$500
31/03 PARQUEO RD$200
</t>
        </r>
      </text>
    </comment>
    <comment ref="H49" authorId="0" shapeId="0">
      <text>
        <r>
          <rPr>
            <sz val="11"/>
            <color theme="1"/>
            <rFont val="Calibri"/>
            <family val="2"/>
            <scheme val="minor"/>
          </rPr>
          <t>Madelin Nepomuceno:
04/04 FACT. LAVANDERÍA, PROPINA SUPER RD$850
09/04 AGUACATE Y PROPINA SUPER RD$450
21/04 AGUACATE, TAXI Y PROPINA SUPER RD$550
22/04 EFECTIVO AMCR RD$500
30/04 2 PROPINA SUPER RD$100</t>
        </r>
      </text>
    </comment>
    <comment ref="J49" authorId="0" shapeId="0">
      <text>
        <r>
          <rPr>
            <sz val="11"/>
            <color theme="1"/>
            <rFont val="Calibri"/>
            <family val="2"/>
            <scheme val="minor"/>
          </rPr>
          <t>Madelin Nepomuceno:
08/05 PARQUEO GATRO RD$250
12/05 EFECTIVO AMCR RD$1,500
12/05 PROPINAS SUPER Y COMPRA DE ARROZ RD$400
13/05 MOVING UP CEREMONY GPC 5TH RD$2,500
15/05 TAXI, AGUAATE Y 2 PROPINA SUPER RD$700
23/05 AGUACATE Y PROPINA SUPER RD$200
23/05 PROPINA MANTENIMINETO NISSAN RD$300
26/05 IMPRESIÓN DE ACTAS RD$10,000 - reembolsado
29/05 IMPRESIÓN DE ACTAS RD$2,500 - reembolsado</t>
        </r>
      </text>
    </comment>
    <comment ref="L49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30.05 Pago Taxi mantenimiento volvo RD$600
02.06 Consulado español y JC E RD$6,000
06.06 Propina super y aguacate RD$450
06.06 JCE RD$2,500 - reembolsado
13.06 Parqueo y 2 propinas super RD$250
13.06 Efectivo AMCR RD$2,000
18.06 Parqueo RD$100
23.06 JCE y catedrales RD$3,500 - reembolsado 
25.06 Compra de soladek AMCR RD$500
1.07 Pila llave volvoRD$100
09.07 Efectivo viaje pp madelin RD$5,100 - reembolsado
</t>
        </r>
      </text>
    </comment>
    <comment ref="N49" authorId="0" shapeId="0">
      <text>
        <r>
          <rPr>
            <sz val="11"/>
            <color theme="1"/>
            <rFont val="Calibri"/>
            <family val="2"/>
            <scheme val="minor"/>
          </rPr>
          <t>Madelin Nepomuceno:
10.07 Propina RD$50
10.07 Propina compra de batería RD$300
15.07 Propina RD$400
17.07 Propina RD$400
21.07 Documentos junta RD$4,500 - reembolsado
23.07 propina, peaje RD$150
23.07 Documentos junta RD$7,500 - reembolsado
28.07 Propina, parqueo RD$150</t>
        </r>
      </text>
    </comment>
    <comment ref="P49" authorId="0" shapeId="0">
      <text>
        <r>
          <rPr>
            <sz val="11"/>
            <color theme="1"/>
            <rFont val="Calibri"/>
            <family val="2"/>
            <scheme val="minor"/>
          </rPr>
          <t>Madelin Nepomuceno:
01.08 Refresco AMCR RD$150
05.08 Dume RD$800
08/08 Propina RD$50
12/08 Propina RD$150
12/08 Pasaje candidata Kenia RD$500
15/08 Efectivo Junta RD$4,000 - reembolsado
15/08 Compra de gillet, propina, aguacate RD$550
18/08 Efectivo AMCR RD$1,500
20/08 Compra de pedialitis RD$275
20/08 Efectivo aduanas RD$1,555
22/08 Goma tapada y propinas RD$850
25/08 Efectivo junta RD$3,500 - reembolsado
27/08 Compra de tape oreja RD$200
27/08 Taxis, propina y almuerzo RD$1,170
05/09 Propina y almuerzo RD$150</t>
        </r>
      </text>
    </comment>
    <comment ref="R49" authorId="0" shapeId="0">
      <text>
        <r>
          <rPr>
            <sz val="11"/>
            <color theme="1"/>
            <rFont val="Calibri"/>
            <family val="2"/>
            <scheme val="minor"/>
          </rPr>
          <t>Madelin Nepomuceno:
09.09 Pago prueba Melissa RD$2,000
11.09 Lavado, almuerzo y propina RD$1,250
11.09 Almuerzo RD$450
12.09 Efectivo AMCR RD$2,000
12.09 Papel buena conducta Melissa RD$600
17.09 Paspartú RD$1,500
22.09 Botellas decoradas GPC y postre RD$2,500
29.09 Efectivo EO RD$1,000
29.09 Propina y aguacate RD$$1,350
29.09 Documentos Junta RD$9,000 - reembolsado</t>
        </r>
      </text>
    </comment>
    <comment ref="T49" authorId="0" shapeId="0">
      <text>
        <r>
          <rPr>
            <sz val="11"/>
            <color theme="1"/>
            <rFont val="Calibri"/>
            <family val="2"/>
            <scheme val="minor"/>
          </rPr>
          <t>Madelin Nepomuceno:
01.10 Copia llaves RD$300
01.10 Propinas RD$150
08.10 Fotos cpc y gpc RD$3,600
10.10 Pinche goma y propina RD$700
16.10 Compra mani y transporte farmacia RD800
16.10 Propina y almuerzo RD$1,150
17.10 Pilas control puerta RD$450
21.10 Papel buena conducta candidatas RD$1,200
29.10 Pasaje candidata Raysa RD$500
29.10 Almuerzo RD$600</t>
        </r>
      </text>
    </comment>
    <comment ref="V49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04.11 Propinas RD$150
05.11 Pasaporte español GPC RD$2,200
07.11 Efectivo AMCR RD$3,000
12.11 Pasta dental CPC RD$300
13.11 Propina y viatico PC RD$1,550
17.11 Dume RD$1,700
19.11 Propina taxi y propina corripio RD$1,350
25.11 Propina, taxi y dietas RD$3,350
26.11 Zephyros Yogurt RD$800
</t>
        </r>
      </text>
    </comment>
    <comment ref="X49" authorId="0" shapeId="0">
      <text>
        <r>
          <rPr>
            <sz val="11"/>
            <color theme="1"/>
            <rFont val="Calibri"/>
            <family val="2"/>
            <scheme val="minor"/>
          </rPr>
          <t>Madelin Nepomuceno:
01.12 Efectivo PP RD$10,200 - reembolsado
05.12 Porpina, aguacate y almuerzo RD$1,100
08.12 Uber Almohadas RD$200
09.12 Mani y refresco RD$300
09.12 Almuerzos y propina RD$1,600
12.12 Junta RD$1,000 - reembolsado
16.12 Compra dume RD$2,500
18.12 Bolsas de regalo dume RD$800
19.12 Propinas y cena RD$650</t>
        </r>
      </text>
    </comment>
    <comment ref="B50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15/1 Pago BM
</t>
        </r>
      </text>
    </comment>
    <comment ref="D50" authorId="0" shapeId="0">
      <text>
        <r>
          <rPr>
            <sz val="11"/>
            <color theme="1"/>
            <rFont val="Calibri"/>
            <family val="2"/>
            <scheme val="minor"/>
          </rPr>
          <t>Madelin Nepomuceno:
15/2 Pago bm</t>
        </r>
      </text>
    </comment>
    <comment ref="F50" authorId="0" shapeId="0">
      <text>
        <r>
          <rPr>
            <sz val="11"/>
            <color theme="1"/>
            <rFont val="Calibri"/>
            <family val="2"/>
            <scheme val="minor"/>
          </rPr>
          <t>Madelin Nepomuceno:
13/03 Pago BM</t>
        </r>
      </text>
    </comment>
    <comment ref="H50" authorId="0" shapeId="0">
      <text>
        <r>
          <rPr>
            <sz val="11"/>
            <color theme="1"/>
            <rFont val="Calibri"/>
            <family val="2"/>
            <scheme val="minor"/>
          </rPr>
          <t>Madelin Nepomuceno:
15/04 Pago BM</t>
        </r>
      </text>
    </comment>
    <comment ref="J50" authorId="0" shapeId="0">
      <text>
        <r>
          <rPr>
            <sz val="11"/>
            <color theme="1"/>
            <rFont val="Calibri"/>
            <family val="2"/>
            <scheme val="minor"/>
          </rPr>
          <t>Madelin Nepomuceno:
14/05 Pago BM</t>
        </r>
      </text>
    </comment>
    <comment ref="L50" authorId="0" shapeId="0">
      <text>
        <r>
          <rPr>
            <sz val="11"/>
            <color theme="1"/>
            <rFont val="Calibri"/>
            <family val="2"/>
            <scheme val="minor"/>
          </rPr>
          <t>Madelin Nepomuceno:
13/06 Pago BM</t>
        </r>
      </text>
    </comment>
    <comment ref="N50" authorId="0" shapeId="0">
      <text>
        <r>
          <rPr>
            <sz val="11"/>
            <color theme="1"/>
            <rFont val="Calibri"/>
            <family val="2"/>
            <scheme val="minor"/>
          </rPr>
          <t>Madelin Nepomuceno:
14.07 Pago BM</t>
        </r>
      </text>
    </comment>
    <comment ref="P50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15.08 Pago BM</t>
        </r>
      </text>
    </comment>
    <comment ref="R50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15.09 Pago BM</t>
        </r>
      </text>
    </comment>
    <comment ref="T50" authorId="0" shapeId="0">
      <text>
        <r>
          <rPr>
            <sz val="11"/>
            <color theme="1"/>
            <rFont val="Calibri"/>
            <family val="2"/>
            <scheme val="minor"/>
          </rPr>
          <t>Madelin Nepomuceno:
14.10 Pago BM</t>
        </r>
      </text>
    </comment>
    <comment ref="V50" authorId="0" shapeId="0">
      <text>
        <r>
          <rPr>
            <sz val="11"/>
            <color theme="1"/>
            <rFont val="Calibri"/>
            <family val="2"/>
            <scheme val="minor"/>
          </rPr>
          <t>Madelin Nepomuceno:
14.11 Pago BM</t>
        </r>
      </text>
    </comment>
    <comment ref="X50" authorId="0" shapeId="0">
      <text>
        <r>
          <rPr>
            <sz val="11"/>
            <color theme="1"/>
            <rFont val="Calibri"/>
            <family val="2"/>
            <scheme val="minor"/>
          </rPr>
          <t>Madelin Nepomuceno:
15.12 Pago BM</t>
        </r>
      </text>
    </comment>
    <comment ref="P51" authorId="0" shapeId="0">
      <text>
        <r>
          <rPr>
            <sz val="11"/>
            <color theme="1"/>
            <rFont val="Calibri"/>
            <family val="2"/>
            <scheme val="minor"/>
          </rPr>
          <t>Madelin Nepomuceno:
16.06 Pago plan CPC &amp; GPC RD$4,785.02
15.07 Pago plan CPC &amp; GPC RD$4,350.02</t>
        </r>
      </text>
    </comment>
    <comment ref="R51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15.08 Pago plan CPC &amp; GPC RD$4,335.70</t>
        </r>
      </text>
    </comment>
    <comment ref="T5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15.09 Pago plan CPC &amp; GPC </t>
        </r>
      </text>
    </comment>
    <comment ref="V5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15.10 Pago plan CPC &amp; GPC </t>
        </r>
      </text>
    </comment>
    <comment ref="X5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15.11 Pago plan CPC &amp; GPC </t>
        </r>
      </text>
    </comment>
    <comment ref="D52" authorId="0" shapeId="0">
      <text>
        <r>
          <rPr>
            <sz val="11"/>
            <color theme="1"/>
            <rFont val="Calibri"/>
            <family val="2"/>
            <scheme val="minor"/>
          </rPr>
          <t>Madelin Nepomuceno:
7/2 Compra de vestido blanco You Concept RD$5,899.50
10/02 Arreglo vestido Sarah Wagner RD$1,800
14/02 Arreglo vestido Sarah Wagner RD$1,300</t>
        </r>
      </text>
    </comment>
    <comment ref="E52" authorId="0" shapeId="0">
      <text>
        <r>
          <rPr>
            <sz val="11"/>
            <color theme="1"/>
            <rFont val="Calibri"/>
            <family val="2"/>
            <scheme val="minor"/>
          </rPr>
          <t>Madelin Nepomuceno:
14/02 Pago Montero Shipping, envio TV Estudio</t>
        </r>
      </text>
    </comment>
    <comment ref="H5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11/04 Pago salon CPC &amp; GPC RD$2,600
15/04 Pago Arreglos varios Sarah Wagner RD5,200
30/04 Pago fotografo cumple CPC RD$20,000
</t>
        </r>
      </text>
    </comment>
    <comment ref="J5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18/05 Pago Salonera RD$3,900
26/05 Pago permiso de las niñas PC RD$8,500
27/05 Compra boletas Rifa SMS RD$1,000
</t>
        </r>
      </text>
    </comment>
    <comment ref="M52" authorId="1" shapeId="0">
      <text>
        <r>
          <rPr>
            <b/>
            <sz val="9"/>
            <color indexed="81"/>
            <rFont val="Tahoma"/>
            <family val="2"/>
          </rPr>
          <t>Antonia Caceres:</t>
        </r>
        <r>
          <rPr>
            <sz val="9"/>
            <color indexed="81"/>
            <rFont val="Tahoma"/>
            <family val="2"/>
          </rPr>
          <t xml:space="preserve">
transferencia directa real deals
Compra GG
06/06 $295.00
18/06 $38.54 envio </t>
        </r>
      </text>
    </comment>
    <comment ref="P52" authorId="0" shapeId="0">
      <text>
        <r>
          <rPr>
            <sz val="11"/>
            <color theme="1"/>
            <rFont val="Calibri"/>
            <family val="2"/>
            <scheme val="minor"/>
          </rPr>
          <t>Madelin Nepomuceno:
30/08 Pago prueba Kenia RD$11,000</t>
        </r>
      </text>
    </comment>
    <comment ref="Q52" authorId="0" shapeId="0">
      <text>
        <r>
          <rPr>
            <sz val="11"/>
            <color theme="1"/>
            <rFont val="Calibri"/>
            <family val="2"/>
            <scheme val="minor"/>
          </rPr>
          <t>Madelin Nepomuceno:
07.08 Compra de dos camisas lino JMPP</t>
        </r>
      </text>
    </comment>
    <comment ref="R5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06/09 Alo Yoga GPC RD$17,085, Reembolso por RD$5,200
08/09 Alo yoga GPC RD$18,585, Reembolso por RD$11,890
23.09 Pago suero AMCR RD$8,000
</t>
        </r>
      </text>
    </comment>
    <comment ref="S52" authorId="1" shapeId="0">
      <text>
        <r>
          <rPr>
            <sz val="11"/>
            <color theme="1"/>
            <rFont val="Calibri"/>
            <family val="2"/>
            <scheme val="minor"/>
          </rPr>
          <t>Antonia Caceres:
11/09 reembolso Christian Ricart compra ODLR $1,225.00</t>
        </r>
      </text>
    </comment>
    <comment ref="T52" authorId="0" shapeId="0">
      <text>
        <r>
          <rPr>
            <sz val="11"/>
            <color theme="1"/>
            <rFont val="Calibri"/>
            <family val="2"/>
            <scheme val="minor"/>
          </rPr>
          <t>Madelin Nepomuceno:
31.10 Pago la costurera arreglo vestido RD$6,726</t>
        </r>
      </text>
    </comment>
    <comment ref="V52" authorId="0" shapeId="0">
      <text>
        <r>
          <rPr>
            <sz val="11"/>
            <color theme="1"/>
            <rFont val="Calibri"/>
            <family val="2"/>
            <scheme val="minor"/>
          </rPr>
          <t>Madelin Nepomuceno:
11.11 Pago Arbolito RD$3,000
27.11 Pago arreglos varios - La Costureria RD$8,555</t>
        </r>
      </text>
    </comment>
    <comment ref="X5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21.11 Taquillas AMCR, JMPP Y CPC RD$19,170
23.12 Pago blusita GPC RD$4,032
Restando:
Reembolsos taquillas
</t>
        </r>
      </text>
    </comment>
    <comment ref="Q102" authorId="0" shapeId="0">
      <text>
        <r>
          <rPr>
            <sz val="11"/>
            <color theme="1"/>
            <rFont val="Calibri"/>
            <family val="2"/>
            <scheme val="minor"/>
          </rPr>
          <t>Madelin Nepomuceno:
29.09 Compra anturios RD$1,200</t>
        </r>
      </text>
    </comment>
  </commentList>
</comments>
</file>

<file path=xl/comments3.xml><?xml version="1.0" encoding="utf-8"?>
<comments xmlns="http://schemas.openxmlformats.org/spreadsheetml/2006/main">
  <authors>
    <author>Madelin Nepomuceno</author>
  </authors>
  <commentList>
    <comment ref="B6" authorId="0" shapeId="0">
      <text>
        <r>
          <rPr>
            <sz val="11"/>
            <color theme="1"/>
            <rFont val="Calibri"/>
            <family val="2"/>
            <scheme val="minor"/>
          </rPr>
          <t>Madelin Nepomuceno:
Gas Dic25 RD$6,046.23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Madelin Nepomuceno:
13.01 Pago Frozen Fresh Salmon RD$11,600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22.12 Ikea Silla home office RD$61,370
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Madelin Nepomuceno:
07.01 Pago Silla cabecera comedor RD$63,627.87
07.01 Pago silla comedor rota RD$25,067.11</t>
        </r>
      </text>
    </comment>
    <comment ref="B12" authorId="0" shapeId="0">
      <text>
        <r>
          <rPr>
            <sz val="11"/>
            <color theme="1"/>
            <rFont val="Calibri"/>
            <family val="2"/>
            <scheme val="minor"/>
          </rPr>
          <t>Madelin Nepomuceno:
16.01 Abono TC CPC RD$8,000</t>
        </r>
      </text>
    </comment>
    <comment ref="B16" authorId="0" shapeId="0">
      <text>
        <r>
          <rPr>
            <sz val="11"/>
            <color theme="1"/>
            <rFont val="Calibri"/>
            <family val="2"/>
            <scheme val="minor"/>
          </rPr>
          <t>Madelin Nepomuceno:
Días extra RD$5,000
15.01 Descuento prestamo RD$1,500</t>
        </r>
      </text>
    </comment>
    <comment ref="B18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15.01 Pagado por transferencia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Madelin Nepomuceno:
Días laborados:
09.01.2026
15.01.2026</t>
        </r>
      </text>
    </comment>
    <comment ref="B22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5/6 Pagado 22.12
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Madelin Nepomuceno:
6/6 Pagado 13.01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Madelin Nepomuceno:
5/5 Pagado 11.12</t>
        </r>
      </text>
    </comment>
    <comment ref="B28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08.12 Santo Domingo Country Club RD$12,970
09.12 Domiliación Edesur NovRD$29,760.92
11.12 Mapfre RD$10,929.12
22.12 Seguros Sura RD$25,950.02</t>
        </r>
      </text>
    </comment>
    <comment ref="D28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09.01 Domiliación Edesur Dic RD$28,137.32
13.01 Seguros Sura RD$26,242.04
16.01 Santo Domingo Country Club RD$14,500</t>
        </r>
      </text>
    </comment>
    <comment ref="B29" authorId="0" shapeId="0">
      <text>
        <r>
          <rPr>
            <sz val="11"/>
            <color theme="1"/>
            <rFont val="Calibri"/>
            <family val="2"/>
            <scheme val="minor"/>
          </rPr>
          <t>Madelin Nepomuceno:
09.01 Pago al corte RD$247,746.61
Restando:
Gastos Super RD$3,637.60
17.11 Claro GPC &amp; CPC RD$4,353.27
21.11 Claro RD$5,750.89
28.11 Pedidos Ya Tips RD$75 - reembolsado CA
29.11 Pedidos Ya RD$961 - reembolsado CA
15.12 Pago plan CPC &amp; GPC RD$4,351.32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Gastos Super RD$13,241.57
22.12 Claro RD$5,750.89
07.01 Pago Silla cabecera comedor RD$63,627.87
07.01 Pago silla comedor rota RD$25,067.11
15.01 Claro GPC &amp; CPC RD$4,329.17</t>
        </r>
      </text>
    </comment>
    <comment ref="F29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Gastos Super RD$6,120.21</t>
        </r>
      </text>
    </comment>
    <comment ref="C30" authorId="0" shapeId="0">
      <text>
        <r>
          <rPr>
            <sz val="11"/>
            <color theme="1"/>
            <rFont val="Calibri"/>
            <family val="2"/>
            <scheme val="minor"/>
          </rPr>
          <t>Madelin Nepomuceno:
19.01 Pago TC US$7,508.32</t>
        </r>
      </text>
    </comment>
    <comment ref="C31" authorId="0" shapeId="0">
      <text>
        <r>
          <rPr>
            <sz val="11"/>
            <color theme="1"/>
            <rFont val="Calibri"/>
            <family val="2"/>
            <scheme val="minor"/>
          </rPr>
          <t>Madelin Nepomuceno:
22.01 Pago TC US$4,121.60
Restando:
APM US$859.63</t>
        </r>
      </text>
    </commen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Gastos super RD$4,389.51</t>
        </r>
      </text>
    </comment>
    <comment ref="B34" authorId="0" shapeId="0">
      <text>
        <r>
          <rPr>
            <sz val="11"/>
            <color theme="1"/>
            <rFont val="Calibri"/>
            <family val="2"/>
            <scheme val="minor"/>
          </rPr>
          <t>Madelin Nepomuceno:
22.12 Abono TC RD$50,000
Restando:
Gastos super RD$23,075.27
22.12 Ikea Silla home office RD$61,370</t>
        </r>
      </text>
    </comment>
    <comment ref="D34" authorId="0" shapeId="0">
      <text>
        <r>
          <rPr>
            <sz val="11"/>
            <color theme="1"/>
            <rFont val="Calibri"/>
            <family val="2"/>
            <scheme val="minor"/>
          </rPr>
          <t>Madelin Nepomuceno:
Restando:
Gastos super RD$27,556.95</t>
        </r>
      </text>
    </comment>
    <comment ref="C38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15.01 Pago Shipping Montero regalo padre JMPP US$200</t>
        </r>
      </text>
    </comment>
    <comment ref="B47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15.01 Pagado por transferencia
</t>
        </r>
      </text>
    </comment>
    <comment ref="B4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Madelin Nepomuceno:
15.12 Pago plan CPC &amp; GPC </t>
        </r>
      </text>
    </comment>
    <comment ref="D48" authorId="0" shapeId="0">
      <text>
        <r>
          <rPr>
            <sz val="11"/>
            <color theme="1"/>
            <rFont val="Calibri"/>
            <family val="2"/>
            <scheme val="minor"/>
          </rPr>
          <t>Madelin Nepomuceno:
15.01 Pago plan CPC &amp; GPC</t>
        </r>
      </text>
    </comment>
    <comment ref="Q99" authorId="0" shapeId="0">
      <text>
        <r>
          <rPr>
            <sz val="11"/>
            <color theme="1"/>
            <rFont val="Calibri"/>
            <family val="2"/>
            <scheme val="minor"/>
          </rPr>
          <t>Madelin Nepomuceno:
29.09 Compra anturios RD$1,200</t>
        </r>
      </text>
    </comment>
  </commentList>
</comments>
</file>

<file path=xl/sharedStrings.xml><?xml version="1.0" encoding="utf-8"?>
<sst xmlns="http://schemas.openxmlformats.org/spreadsheetml/2006/main" count="1351" uniqueCount="316">
  <si>
    <t>Tasas de Cambio del dólar de Referencia del Mercado Spot, Promedio Mensual *</t>
  </si>
  <si>
    <t>Mes</t>
  </si>
  <si>
    <t>Compra</t>
  </si>
  <si>
    <t>Venta</t>
  </si>
  <si>
    <t>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</si>
  <si>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</si>
  <si>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</si>
  <si>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</si>
  <si>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</si>
  <si>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</si>
  <si>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</si>
  <si>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</si>
  <si>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</si>
  <si>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Sept.</t>
  </si>
  <si>
    <t>Oct.</t>
  </si>
  <si>
    <t>Nov.</t>
  </si>
  <si>
    <t>Dic.</t>
  </si>
  <si>
    <t>REAL SUPERMERCADO</t>
  </si>
  <si>
    <t>REVERSE</t>
  </si>
  <si>
    <t xml:space="preserve">BM cargo </t>
  </si>
  <si>
    <t>RESTAURANTES</t>
  </si>
  <si>
    <t>LAVANDERIA</t>
  </si>
  <si>
    <t xml:space="preserve">FLORISTERIA </t>
  </si>
  <si>
    <t>VINOS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</si>
  <si>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</si>
  <si>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</si>
  <si>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</si>
  <si>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</si>
  <si>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</si>
  <si>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</si>
  <si>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</si>
  <si>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</si>
  <si>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 xml:space="preserve">Julio </t>
  </si>
  <si>
    <t>septiembre</t>
  </si>
  <si>
    <t>octubre</t>
  </si>
  <si>
    <t>noviembre</t>
  </si>
  <si>
    <t>diciembre</t>
  </si>
  <si>
    <t>Total:</t>
  </si>
  <si>
    <t>Average</t>
  </si>
  <si>
    <t>SIL ESTHETIC SPA</t>
  </si>
  <si>
    <t>TRAVEL CREDIT BA</t>
  </si>
  <si>
    <t>TOTAL</t>
  </si>
  <si>
    <t>CASA</t>
  </si>
  <si>
    <t>RD$</t>
  </si>
  <si>
    <t>US$</t>
  </si>
  <si>
    <t>Gastos Adicionales no contemplados</t>
  </si>
  <si>
    <t>CLARO</t>
  </si>
  <si>
    <t>Flores</t>
  </si>
  <si>
    <t xml:space="preserve">EDESUR </t>
  </si>
  <si>
    <t>Super</t>
  </si>
  <si>
    <t>MANTENIMIENTO</t>
  </si>
  <si>
    <t>OTROS GASTOS CASA</t>
  </si>
  <si>
    <t>GASTOS SUPERMERCADO</t>
  </si>
  <si>
    <t>REMODELACIONES</t>
  </si>
  <si>
    <t>TOTAL GASTOS CASA</t>
  </si>
  <si>
    <t>COLEGIO/CAMP/CLASES</t>
  </si>
  <si>
    <t>Graciela</t>
  </si>
  <si>
    <t>Catalina</t>
  </si>
  <si>
    <t>TOTAL GASTOS COLEGIO/CAMP/CLASES</t>
  </si>
  <si>
    <t>EMPLEADOS PC</t>
  </si>
  <si>
    <t xml:space="preserve"> </t>
  </si>
  <si>
    <t>EDUARD OZUNA</t>
  </si>
  <si>
    <t>CAROLIN MORENO</t>
  </si>
  <si>
    <t>PELARGIDA BATISTA (SONIA)</t>
  </si>
  <si>
    <t>MARIA DELGADO (SALIDA 09/02/2025)</t>
  </si>
  <si>
    <t>JEANIDALIA SUAREZ (SALIDA 30/05/2025)</t>
  </si>
  <si>
    <t>MARIBEL CANDELARIO (SALIDA 29/08/2025)</t>
  </si>
  <si>
    <t>MELISSA RODRIGUEZ (SALIDA 28/10/2025)</t>
  </si>
  <si>
    <t>Limpieza Profunda Victor/Temporales</t>
  </si>
  <si>
    <t>TOTAL GASTOS EMPLEADOS</t>
  </si>
  <si>
    <t xml:space="preserve">SEGUROS </t>
  </si>
  <si>
    <t>Póliza Sura Objetos Valiosos</t>
  </si>
  <si>
    <t>Póliza La Colonial Salud Internacional</t>
  </si>
  <si>
    <t>Póliza Mapfre Incendio y líneas aliadas</t>
  </si>
  <si>
    <t>Pólizas de Vida JMPP/AMCR</t>
  </si>
  <si>
    <t>TOTAL SEGUROS</t>
  </si>
  <si>
    <t>TARJETAS</t>
  </si>
  <si>
    <t>AMEX **4134</t>
  </si>
  <si>
    <t>Black **1398</t>
  </si>
  <si>
    <t>TC Bank of America **7424 AMCR</t>
  </si>
  <si>
    <t>TC Bank of America **0180 JMPP</t>
  </si>
  <si>
    <t>TC EDUARD AMEX **3440</t>
  </si>
  <si>
    <t>BHD INTERNATIONAL BANK **3801</t>
  </si>
  <si>
    <t>TC EDUARD POPULAR **3652</t>
  </si>
  <si>
    <t>PAYPAL</t>
  </si>
  <si>
    <t>TOTAL TARJETAS</t>
  </si>
  <si>
    <t>VARIOS</t>
  </si>
  <si>
    <t>REGALOS</t>
  </si>
  <si>
    <t>CONSUMOS MÉDICOS</t>
  </si>
  <si>
    <t>VEHICULO</t>
  </si>
  <si>
    <t>CUMPLEAÑOS/FESTEJOS</t>
  </si>
  <si>
    <t>CLASES/TRAINERS/DIETAS</t>
  </si>
  <si>
    <t>ALQUILERES/GASTOS EXTRA FIN DE SEMANA</t>
  </si>
  <si>
    <t xml:space="preserve">SANTO DOMINGO COUNTRY CLUB </t>
  </si>
  <si>
    <t xml:space="preserve">IMPUESTOS DGA/DGII </t>
  </si>
  <si>
    <t>CAJA CHICA</t>
  </si>
  <si>
    <t>BM CARGO</t>
  </si>
  <si>
    <t xml:space="preserve">CLARO CPC y GPC </t>
  </si>
  <si>
    <t>OTROS</t>
  </si>
  <si>
    <t>TOTAL VARIOS</t>
  </si>
  <si>
    <t>Sub TOTAL</t>
  </si>
  <si>
    <t>TOTAL Gral</t>
  </si>
  <si>
    <t>TASA</t>
  </si>
  <si>
    <t>LEIDA GUZMAN</t>
  </si>
  <si>
    <t>TC CCN POPULAR **3652</t>
  </si>
  <si>
    <t xml:space="preserve">TC Popular </t>
  </si>
  <si>
    <t>DESGLOSE</t>
  </si>
  <si>
    <t>MONTOS</t>
  </si>
  <si>
    <t>FECHAS</t>
  </si>
  <si>
    <t>DESCRIPCION DE TRANSACCION</t>
  </si>
  <si>
    <t>SUPERMERCADO</t>
  </si>
  <si>
    <t>PAGOS</t>
  </si>
  <si>
    <t>RESTAURANTE</t>
  </si>
  <si>
    <t>PEDIDOS YA TIPS</t>
  </si>
  <si>
    <t xml:space="preserve">PEDIDOS YA   </t>
  </si>
  <si>
    <t>ZEPHYROS YOGURT ICE CR</t>
  </si>
  <si>
    <t xml:space="preserve">VINOS </t>
  </si>
  <si>
    <t>RESTAURANT SAMURAI</t>
  </si>
  <si>
    <t>TRAVEL CREDIT</t>
  </si>
  <si>
    <t xml:space="preserve">STARBUCKS LINCOLN </t>
  </si>
  <si>
    <t>PEDIDOS YA</t>
  </si>
  <si>
    <t>CLARO P REC 8095408659</t>
  </si>
  <si>
    <t>HS AGIL TV</t>
  </si>
  <si>
    <t>APM</t>
  </si>
  <si>
    <t xml:space="preserve">PedidosYa*Propina </t>
  </si>
  <si>
    <t>Reembolsado por CA</t>
  </si>
  <si>
    <t>PedidosYa*Saralinas Wh</t>
  </si>
  <si>
    <t>FARMABLUE</t>
  </si>
  <si>
    <t>Ozempic</t>
  </si>
  <si>
    <t>MAREA RESTAURANTE</t>
  </si>
  <si>
    <t>PASTRY</t>
  </si>
  <si>
    <t>CALL CENTER PEAJE</t>
  </si>
  <si>
    <t>CITY MARKET</t>
  </si>
  <si>
    <t>PedidosYa*Man Up Cook</t>
  </si>
  <si>
    <t>Uber Rides -* Uber Rides</t>
  </si>
  <si>
    <t>PedidosYa*Mar</t>
  </si>
  <si>
    <t>SM NACIONAL METRO PLZA</t>
  </si>
  <si>
    <t>Reverse</t>
  </si>
  <si>
    <t>Ministerio de relacion</t>
  </si>
  <si>
    <t>Apostillar doc</t>
  </si>
  <si>
    <t>Carol App-WB</t>
  </si>
  <si>
    <t>PedidosYa*Pizza hut Lo</t>
  </si>
  <si>
    <t>Mdconalds S Sarasota</t>
  </si>
  <si>
    <t>Ozempic y atrolip</t>
  </si>
  <si>
    <t>Desodorantes</t>
  </si>
  <si>
    <t>Pago Via Internet</t>
  </si>
  <si>
    <t>Wu Asian Cuisine</t>
  </si>
  <si>
    <t>Krispy Kreme Churchill</t>
  </si>
  <si>
    <t xml:space="preserve">Gdos Tecnologia D Cons </t>
  </si>
  <si>
    <t>Grove Padel Club Srl</t>
  </si>
  <si>
    <t>PedidosYA*Plus</t>
  </si>
  <si>
    <t>Napoli RD Pizza</t>
  </si>
  <si>
    <t>CLARO P REC 8297481895, SANTO DOMINGO</t>
  </si>
  <si>
    <t>Claro CPC &amp; GPC</t>
  </si>
  <si>
    <t>TC BHD Panama</t>
  </si>
  <si>
    <t>PAGO DEBITO A CUENTA IB</t>
  </si>
  <si>
    <t>LULULEMON NEWBURY BOSTON-US</t>
  </si>
  <si>
    <t>LULULEMON PRUDENTIAL C BOSTON-US</t>
  </si>
  <si>
    <t>INSOMNIA COOKIES - BAC 877-866-6654-US</t>
  </si>
  <si>
    <t>SQ * MURE * GRAND BOSTON-US</t>
  </si>
  <si>
    <t>CVS/PHARMACY #11200 BOSTON-US</t>
  </si>
  <si>
    <t>STARBUCKS 49088 BOSTON-US</t>
  </si>
  <si>
    <t>SEPHORA PRUDENTIAL CEN BOSTON-US</t>
  </si>
  <si>
    <t>RAISING CANES 0676 BOSTON-US</t>
  </si>
  <si>
    <t>TRADER JOE S #500 BOSTON-US</t>
  </si>
  <si>
    <t>Subtotal TC BHD Corte Enero USD$</t>
  </si>
  <si>
    <t xml:space="preserve">TC Amex </t>
  </si>
  <si>
    <t>Aliss Metro Plaza, Santo Domingo</t>
  </si>
  <si>
    <t>PedidosYa Restaurante</t>
  </si>
  <si>
    <t>PedidosYa, Santo Domingo</t>
  </si>
  <si>
    <t>Country Club Pago Recurre, Santo Domingo</t>
  </si>
  <si>
    <t>Edesur Domiciliacion Haina</t>
  </si>
  <si>
    <t>Osteria Olivia, Santo Domingo</t>
  </si>
  <si>
    <t xml:space="preserve">Casa Cuesta, Santo Domingo </t>
  </si>
  <si>
    <t>Dev. Pedidos Ya Nov</t>
  </si>
  <si>
    <t>Mapfre Pr, Santo Domingo</t>
  </si>
  <si>
    <t>Cargo Cobertura de Seguro</t>
  </si>
  <si>
    <t>Trattoria Angiolino - Naco, Santo Domingo</t>
  </si>
  <si>
    <t>Avance de efectivo vent</t>
  </si>
  <si>
    <t>Avance de efectivo internet</t>
  </si>
  <si>
    <t>Santino, Santo Domingo</t>
  </si>
  <si>
    <t>Pedidos Ya, Santo Domingo</t>
  </si>
  <si>
    <t>Restaurante Gijon, Santo Domingo</t>
  </si>
  <si>
    <t>Papelería Ccc, Santo Domingo</t>
  </si>
  <si>
    <t>Seguros Sura-Web Services, Santo Domingo</t>
  </si>
  <si>
    <t>The Butcher Shop, Santo Domingo</t>
  </si>
  <si>
    <t>Nike Factory, Santo Domingo</t>
  </si>
  <si>
    <t>Peperoni, Santo Domingo</t>
  </si>
  <si>
    <t>Su Pago Gracias Rtgs-****4134</t>
  </si>
  <si>
    <t>Pasta Factory, Santo Domingo</t>
  </si>
  <si>
    <t>Heladeria Valentino, Santo Domingo</t>
  </si>
  <si>
    <t xml:space="preserve">TC Eduard AMEX </t>
  </si>
  <si>
    <t>Dominican Food Investment, Santo Domingo</t>
  </si>
  <si>
    <t>Jade Teriyaki M.Churhill, Santo Domingo</t>
  </si>
  <si>
    <t>La Innovación, Santo Domingo</t>
  </si>
  <si>
    <t>Lavacar, Santo Domingo</t>
  </si>
  <si>
    <t>Humano Seguros naco, Santo Domingo</t>
  </si>
  <si>
    <t>Kfc Jfk, Santo Domingo</t>
  </si>
  <si>
    <t>Pricesmart Los Prados</t>
  </si>
  <si>
    <t>Stanparty</t>
  </si>
  <si>
    <t>Pollos Victorina Churchill, Santo Domingo</t>
  </si>
  <si>
    <t>La Sirena Churchill</t>
  </si>
  <si>
    <t>Su pago gracias</t>
  </si>
  <si>
    <t>Mcdonalds - Winston Churc</t>
  </si>
  <si>
    <t>Total balance al corte Enero tc Eduard RD$</t>
  </si>
  <si>
    <t>Total supermercado TC Eduard</t>
  </si>
  <si>
    <t>TC Eduard POPULAR</t>
  </si>
  <si>
    <t>Anthuriana Dominicana</t>
  </si>
  <si>
    <t>Mcdonald S Sarasota</t>
  </si>
  <si>
    <t>Papelería Dume Defillo</t>
  </si>
  <si>
    <t>Rebate CCN Plus - Dic25</t>
  </si>
  <si>
    <t>SM Nacional Metro Plza</t>
  </si>
  <si>
    <t>Alm Unidos Kennedy</t>
  </si>
  <si>
    <t>Leather Spa</t>
  </si>
  <si>
    <t>SM Bravo Churchill</t>
  </si>
  <si>
    <t>Ikea Serv- Muebles- Mark</t>
  </si>
  <si>
    <t>SIllas home office</t>
  </si>
  <si>
    <t>Jugueton Av 27 de Feb</t>
  </si>
  <si>
    <t>Cleanmaster</t>
  </si>
  <si>
    <t>La Boutique del trigo</t>
  </si>
  <si>
    <t>Logo It, Santo Domingo</t>
  </si>
  <si>
    <t xml:space="preserve">Rebate CCN Plus </t>
  </si>
  <si>
    <t>Total balance al corte enero tc Eduard RD$</t>
  </si>
  <si>
    <t xml:space="preserve">BA AMCR </t>
  </si>
  <si>
    <t>PAYPAL *NETAPORTER NET-A-212-901-3000</t>
  </si>
  <si>
    <t>DELTA AIR 006738543772 SEATTLE WA CACERES DE PER</t>
  </si>
  <si>
    <t>DELTA AIR 006738543773 SEATTLE WA PEREZ JORGE</t>
  </si>
  <si>
    <t>WILLIAMS-SONOMA, NY</t>
  </si>
  <si>
    <t>H&amp;M 0279, NY</t>
  </si>
  <si>
    <t>SAKS NEW YORK</t>
  </si>
  <si>
    <t>PAPERSOURCE -4729, NY</t>
  </si>
  <si>
    <t>PAYPAL*JIACHENGKEJF5TG</t>
  </si>
  <si>
    <t>URBANOUTFITTERS.COM</t>
  </si>
  <si>
    <t>SP QUEEN OF THE THRONE</t>
  </si>
  <si>
    <t>SP DIBS USA</t>
  </si>
  <si>
    <t>WF*WAYFAIR4432519463</t>
  </si>
  <si>
    <t>SP KATIE JNYC</t>
  </si>
  <si>
    <t>SP DANDYWORLDWIDE.COM</t>
  </si>
  <si>
    <t>PARK LANE HOTEL NEW YORK</t>
  </si>
  <si>
    <t>SP MONIQUELHUILLIER</t>
  </si>
  <si>
    <t>PAYPAL*PADOVA SAS</t>
  </si>
  <si>
    <t>THE BEACH C</t>
  </si>
  <si>
    <t>PAYPAL*SEPHORA USA</t>
  </si>
  <si>
    <t>PAYPAL*SHADECRITTR</t>
  </si>
  <si>
    <t>AUDIBLE*DY5PD8303</t>
  </si>
  <si>
    <t>AMAZON RETA*KF9R10A3</t>
  </si>
  <si>
    <t>PAYPAL*PBTEEN</t>
  </si>
  <si>
    <t>AMAZON PRIME*3B0D93LD3</t>
  </si>
  <si>
    <t>SP TRYLUVIE.COM</t>
  </si>
  <si>
    <t>PAYPAL*BACKCOUNTRY</t>
  </si>
  <si>
    <t>PAYPAL*FARFETCHUKL</t>
  </si>
  <si>
    <t>PAYPAL*YOURSELF</t>
  </si>
  <si>
    <t>LOCCITANE</t>
  </si>
  <si>
    <t>PAYPAL*LULULEMONUS</t>
  </si>
  <si>
    <t>KINDLE UNLTD*349HK2RC3</t>
  </si>
  <si>
    <t>PAYPAL*CRATEANDBAR</t>
  </si>
  <si>
    <t>PAYPAL*FEDEX</t>
  </si>
  <si>
    <t>ONLINE PAYMENT</t>
  </si>
  <si>
    <t>PP*ADOBE INC ADOBE</t>
  </si>
  <si>
    <t>AMZNFREETIME*7780U1BD3</t>
  </si>
  <si>
    <t>Subtotal TC BA AMCR Corte enero US$</t>
  </si>
  <si>
    <t>BA JMPP</t>
  </si>
  <si>
    <t>DELTA AIR LINE ONBOARD SATLANTA</t>
  </si>
  <si>
    <t>NYC TAXI 1246</t>
  </si>
  <si>
    <t>TST*SIP AND CO 1</t>
  </si>
  <si>
    <t>APPLE.COM/BILL</t>
  </si>
  <si>
    <t>SAUCONY.COM</t>
  </si>
  <si>
    <t>AMAZON MKTPL*B29MP4SJ0</t>
  </si>
  <si>
    <t>AMAZON MKTPL*B28GJ0US0</t>
  </si>
  <si>
    <t>KINDLE SVCS*BB06783A1</t>
  </si>
  <si>
    <t>EONETWORK.OR</t>
  </si>
  <si>
    <t>AMAZON RETA*BB5ZF8PL0</t>
  </si>
  <si>
    <t>D29096171 180-072-2008</t>
  </si>
  <si>
    <t>AMAZON MKTPL*BB1JS5IG2</t>
  </si>
  <si>
    <t>AMAZON MKTPL*BB1LB2RZ2</t>
  </si>
  <si>
    <t>AMAZON MKTPL*BB8AR8I12</t>
  </si>
  <si>
    <t>INTCH, INC</t>
  </si>
  <si>
    <t>AMAZON MKTPL*BB19P5IO1</t>
  </si>
  <si>
    <t>AMAZON MKTPL*BI5G633J2</t>
  </si>
  <si>
    <t>AMAZON MKTPL*BI5YI03K2</t>
  </si>
  <si>
    <t>AMAZON PRIME*5P81H6OJ3</t>
  </si>
  <si>
    <t>AMAZON MKTPL*BI5LQ7G52</t>
  </si>
  <si>
    <t>AMAZON PRIME*BI7R55ME2</t>
  </si>
  <si>
    <t>AMAZON RETA*BI2UX3GU1</t>
  </si>
  <si>
    <t>AMAZON MKTPL*BI1A96GI1</t>
  </si>
  <si>
    <t>SP GREY CLOTHIERS</t>
  </si>
  <si>
    <t>ADOBE.COM SAGGART, DUBL</t>
  </si>
  <si>
    <t>AMAZON RETA*BI1U56BA1</t>
  </si>
  <si>
    <t>AMAZON MKTPL*BI5MK3GH0</t>
  </si>
  <si>
    <t>AMAZON MKTPL*QJ7PJ0W53</t>
  </si>
  <si>
    <t>AMAZON RETA*CB2YM9QY3</t>
  </si>
  <si>
    <t>ZOOM.COM 888-799-9666</t>
  </si>
  <si>
    <t>AMAZON RETA * OA8K776X3</t>
  </si>
  <si>
    <t>AMAZON RETA * Z68S40853</t>
  </si>
  <si>
    <t>AMAZON MKTPL*IO66R3QP3</t>
  </si>
  <si>
    <t>AMAZON MKTPL*B695P8AE3</t>
  </si>
  <si>
    <t>AMAZON MKTPL*JA3JD4F03</t>
  </si>
  <si>
    <t>AMAZON MKTPL*6K41Q5223</t>
  </si>
  <si>
    <t>AMAZON RETA * JE9FE74Z3</t>
  </si>
  <si>
    <t>FLORENZZA, SANTO DOMINGO 29,073.00 DOP</t>
  </si>
  <si>
    <t>AUTODESK ADY</t>
  </si>
  <si>
    <t>AMAZON MKTPL*UJ94W0GM3</t>
  </si>
  <si>
    <t>CANVA*04731-41542088</t>
  </si>
  <si>
    <t>AMAZON MKTPL*K12T666M3</t>
  </si>
  <si>
    <t>AMAZON MKTPL*1P1C60BO3</t>
  </si>
  <si>
    <t>AMAZON RETA * 6Q2BY3I53</t>
  </si>
  <si>
    <t>AMAZON MKTPL*MP6ME5A43</t>
  </si>
  <si>
    <t>AMAZON RETA * VS40A6QK3</t>
  </si>
  <si>
    <t>AMAZON RETA * J00H477T3</t>
  </si>
  <si>
    <t>UBER *ONE MEMBERSHIP</t>
  </si>
  <si>
    <t>NYTIMES DISC*</t>
  </si>
  <si>
    <t xml:space="preserve">PAYMENT FRON SAV </t>
  </si>
  <si>
    <t>AMAZON RETA * HI3WX0DJ3</t>
  </si>
  <si>
    <t>AMAZON MKTPL*AQ52A50D3</t>
  </si>
  <si>
    <t>ANALISA LAB PIANTINI, SANTO DOMINGO 1,309.00 DOP</t>
  </si>
  <si>
    <t>Subtotal TC BA JMPP Corte enero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</si>
</sst>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RD$&quot;* #,##0.00_);_(&quot;RD$&quot;* \(#,##0.00\);_(&quot;RD$&quot;* &quot;-&quot;??_);_(@_)"/>
    <numFmt numFmtId="166" formatCode="_([$$-540A]* #,##0.00_);_([$$-540A]* \(#,##0.00\);_([$$-540A]* &quot;-&quot;??_);_(@_)"/>
    <numFmt numFmtId="167" formatCode="_([$RD$-1C0A]* #,##0.00_);_([$RD$-1C0A]* \(#,##0.00\);_([$RD$-1C0A]* &quot;-&quot;??_);_(@_)"/>
    <numFmt numFmtId="168" formatCode="_([$$-409]* #,##0.00_);_([$$-409]* \(#,##0.00\);_([$$-409]* &quot;-&quot;??_);_(@_)"/>
    <numFmt numFmtId="169" formatCode="_-[$RD$-1C0A]* #,##0.00_-;\-[$RD$-1C0A]* #,##0.00_-;_-[$RD$-1C0A]* &quot;-&quot;??_-;_-@_-"/>
    <numFmt numFmtId="170" formatCode="_([$$-1C0A]* #,##0.00_);_([$$-1C0A]* \(#,##0.00\);_([$$-1C0A]* &quot;-&quot;??_);_(@_)"/>
    <numFmt numFmtId="171" formatCode="_-[$$-409]* #,##0.00_ ;_-[$$-409]* \-#,##0.00\ ;_-[$$-409]* &quot;-&quot;??_ ;_-@_ "/>
    <numFmt numFmtId="172" formatCode="dd/mm/yyyy;@"/>
    <numFmt numFmtId="173" formatCode="#,##0.0000"/>
    <numFmt numFmtId="174" formatCode="0.0000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Arial"/>
      <family val="2"/>
    </font>
    <font>
      <b/>
      <sz val="12"/>
      <color indexed="9"/>
      <name val="Tahoma"/>
      <family val="2"/>
    </font>
    <font>
      <b/>
      <sz val="12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color indexed="8"/>
      <name val="Helvetica Neue"/>
      <family val="2"/>
    </font>
    <font>
      <b/>
      <sz val="10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Helvetica Neue"/>
      <family val="2"/>
    </font>
    <font>
      <sz val="10"/>
      <color rgb="FF00B0F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92D050"/>
      <name val="Calibri"/>
      <family val="2"/>
      <scheme val="minor"/>
    </font>
    <font>
      <sz val="10"/>
      <color rgb="FFCC66FF"/>
      <name val="Calibri"/>
      <family val="2"/>
      <scheme val="minor"/>
    </font>
    <font>
      <sz val="10"/>
      <color theme="9" tint="0.39997558519241921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6"/>
      <color rgb="FF00B0F0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4FA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0" borderId="0"/>
    <xf numFmtId="0" fontId="22" fillId="0" borderId="0"/>
    <xf numFmtId="0" fontId="29" fillId="0" borderId="0"/>
    <xf numFmtId="0" fontId="29" fillId="0" borderId="0"/>
    <xf numFmtId="44" fontId="1" fillId="0" borderId="0" applyFont="0" applyFill="0" applyBorder="0" applyAlignment="0" applyProtection="0"/>
    <xf numFmtId="9" fontId="1" fillId="0" borderId="0"/>
    <xf numFmtId="0" fontId="33" fillId="0" borderId="0" applyNumberFormat="0" applyFill="0" applyBorder="0" applyProtection="0">
      <alignment vertical="top" wrapText="1"/>
    </xf>
    <xf numFmtId="9" fontId="1" fillId="0" borderId="0" applyFont="0" applyFill="0" applyBorder="0" applyAlignment="0" applyProtection="0"/>
    <xf numFmtId="0" fontId="40" fillId="0" borderId="0"/>
    <xf numFmtId="0" fontId="46" fillId="0" borderId="0" applyNumberFormat="0" applyFill="0" applyBorder="0" applyProtection="0">
      <alignment vertical="top" wrapText="1"/>
    </xf>
    <xf numFmtId="0" fontId="41" fillId="0" borderId="0"/>
    <xf numFmtId="9" fontId="1" fillId="0" borderId="0" applyFont="0" applyFill="0" applyBorder="0" applyAlignment="0" applyProtection="0"/>
  </cellStyleXfs>
  <cellXfs count="912">
    <xf numFmtId="0" fontId="0" fillId="0" borderId="0" xfId="0"/>
    <xf numFmtId="0" fontId="4" fillId="0" borderId="0" xfId="0" applyFont="1"/>
    <xf numFmtId="166" fontId="5" fillId="0" borderId="0" xfId="0" applyNumberFormat="1" applyFont="1"/>
    <xf numFmtId="167" fontId="5" fillId="0" borderId="0" xfId="0" applyNumberFormat="1" applyFont="1"/>
    <xf numFmtId="43" fontId="5" fillId="0" borderId="0" xfId="0" applyNumberFormat="1" applyFont="1"/>
    <xf numFmtId="169" fontId="5" fillId="0" borderId="0" xfId="0" applyNumberFormat="1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0" fontId="4" fillId="2" borderId="0" xfId="0" applyFont="1" applyFill="1"/>
    <xf numFmtId="43" fontId="0" fillId="0" borderId="0" xfId="0" applyNumberFormat="1"/>
    <xf numFmtId="166" fontId="5" fillId="2" borderId="0" xfId="0" applyNumberFormat="1" applyFont="1" applyFill="1"/>
    <xf numFmtId="167" fontId="5" fillId="2" borderId="0" xfId="0" applyNumberFormat="1" applyFont="1" applyFill="1"/>
    <xf numFmtId="166" fontId="8" fillId="0" borderId="0" xfId="0" applyNumberFormat="1" applyFont="1"/>
    <xf numFmtId="43" fontId="5" fillId="2" borderId="0" xfId="0" applyNumberFormat="1" applyFont="1" applyFill="1"/>
    <xf numFmtId="169" fontId="5" fillId="2" borderId="0" xfId="0" applyNumberFormat="1" applyFont="1" applyFill="1"/>
    <xf numFmtId="0" fontId="5" fillId="2" borderId="0" xfId="0" applyFont="1" applyFill="1"/>
    <xf numFmtId="167" fontId="0" fillId="2" borderId="0" xfId="0" applyNumberFormat="1" applyFill="1"/>
    <xf numFmtId="166" fontId="5" fillId="2" borderId="1" xfId="0" applyNumberFormat="1" applyFont="1" applyFill="1" applyBorder="1" applyAlignment="1">
      <alignment horizontal="center"/>
    </xf>
    <xf numFmtId="169" fontId="0" fillId="2" borderId="0" xfId="0" applyNumberFormat="1" applyFill="1"/>
    <xf numFmtId="0" fontId="5" fillId="2" borderId="1" xfId="0" applyFont="1" applyFill="1" applyBorder="1" applyAlignment="1">
      <alignment horizontal="center"/>
    </xf>
    <xf numFmtId="168" fontId="5" fillId="2" borderId="1" xfId="2" applyNumberFormat="1" applyFont="1" applyFill="1" applyBorder="1" applyAlignment="1">
      <alignment horizontal="center"/>
    </xf>
    <xf numFmtId="166" fontId="4" fillId="2" borderId="0" xfId="0" applyNumberFormat="1" applyFont="1" applyFill="1"/>
    <xf numFmtId="0" fontId="11" fillId="0" borderId="0" xfId="0" applyFont="1"/>
    <xf numFmtId="168" fontId="12" fillId="0" borderId="0" xfId="2" applyNumberFormat="1" applyFont="1"/>
    <xf numFmtId="165" fontId="4" fillId="2" borderId="0" xfId="0" applyNumberFormat="1" applyFont="1" applyFill="1"/>
    <xf numFmtId="165" fontId="3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6" fontId="0" fillId="2" borderId="0" xfId="0" applyNumberFormat="1" applyFill="1"/>
    <xf numFmtId="0" fontId="17" fillId="0" borderId="0" xfId="0" applyFont="1"/>
    <xf numFmtId="165" fontId="0" fillId="2" borderId="0" xfId="0" applyNumberFormat="1" applyFill="1"/>
    <xf numFmtId="0" fontId="2" fillId="0" borderId="0" xfId="0" applyFont="1"/>
    <xf numFmtId="0" fontId="0" fillId="0" borderId="1" xfId="0" applyBorder="1"/>
    <xf numFmtId="0" fontId="3" fillId="0" borderId="0" xfId="0" applyFont="1"/>
    <xf numFmtId="165" fontId="1" fillId="0" borderId="1" xfId="2" applyBorder="1"/>
    <xf numFmtId="165" fontId="0" fillId="0" borderId="1" xfId="0" applyNumberFormat="1" applyBorder="1"/>
    <xf numFmtId="0" fontId="3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169" fontId="26" fillId="0" borderId="0" xfId="0" applyNumberFormat="1" applyFont="1"/>
    <xf numFmtId="169" fontId="26" fillId="0" borderId="0" xfId="0" applyNumberFormat="1" applyFont="1" applyAlignment="1">
      <alignment horizontal="right"/>
    </xf>
    <xf numFmtId="0" fontId="0" fillId="2" borderId="1" xfId="0" applyFill="1" applyBorder="1"/>
    <xf numFmtId="0" fontId="17" fillId="2" borderId="0" xfId="0" applyFont="1" applyFill="1" applyAlignment="1">
      <alignment vertical="center"/>
    </xf>
    <xf numFmtId="0" fontId="31" fillId="11" borderId="25" xfId="6" applyFont="1" applyFill="1" applyBorder="1" applyAlignment="1">
      <alignment horizontal="center" vertical="center"/>
    </xf>
    <xf numFmtId="173" fontId="31" fillId="11" borderId="25" xfId="6" applyNumberFormat="1" applyFont="1" applyFill="1" applyBorder="1" applyAlignment="1">
      <alignment horizontal="center" vertical="center"/>
    </xf>
    <xf numFmtId="4" fontId="31" fillId="11" borderId="0" xfId="6" applyNumberFormat="1" applyFont="1" applyFill="1" applyAlignment="1">
      <alignment horizontal="center" vertical="center"/>
    </xf>
    <xf numFmtId="165" fontId="17" fillId="0" borderId="0" xfId="2" applyFont="1" applyBorder="1" applyAlignment="1">
      <alignment vertical="center"/>
    </xf>
    <xf numFmtId="167" fontId="15" fillId="2" borderId="11" xfId="0" applyNumberFormat="1" applyFont="1" applyFill="1" applyBorder="1"/>
    <xf numFmtId="167" fontId="15" fillId="2" borderId="9" xfId="2" applyNumberFormat="1" applyFont="1" applyFill="1" applyBorder="1" applyAlignment="1"/>
    <xf numFmtId="166" fontId="15" fillId="2" borderId="8" xfId="0" applyNumberFormat="1" applyFont="1" applyFill="1" applyBorder="1"/>
    <xf numFmtId="167" fontId="15" fillId="2" borderId="30" xfId="2" applyNumberFormat="1" applyFont="1" applyFill="1" applyBorder="1" applyAlignment="1"/>
    <xf numFmtId="167" fontId="15" fillId="2" borderId="33" xfId="2" applyNumberFormat="1" applyFont="1" applyFill="1" applyBorder="1" applyAlignment="1"/>
    <xf numFmtId="43" fontId="15" fillId="0" borderId="20" xfId="0" applyNumberFormat="1" applyFont="1" applyBorder="1"/>
    <xf numFmtId="166" fontId="15" fillId="2" borderId="10" xfId="0" applyNumberFormat="1" applyFont="1" applyFill="1" applyBorder="1"/>
    <xf numFmtId="166" fontId="15" fillId="2" borderId="20" xfId="0" applyNumberFormat="1" applyFont="1" applyFill="1" applyBorder="1"/>
    <xf numFmtId="165" fontId="15" fillId="2" borderId="30" xfId="2" applyFont="1" applyFill="1" applyBorder="1" applyAlignment="1"/>
    <xf numFmtId="168" fontId="10" fillId="2" borderId="0" xfId="2" applyNumberFormat="1" applyFont="1" applyFill="1" applyAlignment="1"/>
    <xf numFmtId="165" fontId="1" fillId="2" borderId="0" xfId="2" applyFill="1" applyAlignment="1"/>
    <xf numFmtId="168" fontId="5" fillId="2" borderId="0" xfId="2" applyNumberFormat="1" applyFont="1" applyFill="1" applyAlignment="1"/>
    <xf numFmtId="165" fontId="5" fillId="2" borderId="0" xfId="2" applyFont="1" applyFill="1" applyAlignment="1"/>
    <xf numFmtId="165" fontId="5" fillId="0" borderId="0" xfId="2" applyFont="1" applyAlignment="1"/>
    <xf numFmtId="165" fontId="0" fillId="0" borderId="0" xfId="2" applyFont="1" applyAlignment="1"/>
    <xf numFmtId="168" fontId="5" fillId="0" borderId="0" xfId="2" applyNumberFormat="1" applyFont="1" applyAlignment="1"/>
    <xf numFmtId="0" fontId="17" fillId="0" borderId="0" xfId="0" applyFont="1" applyAlignment="1">
      <alignment wrapText="1"/>
    </xf>
    <xf numFmtId="166" fontId="15" fillId="2" borderId="20" xfId="2" applyNumberFormat="1" applyFont="1" applyFill="1" applyBorder="1" applyAlignment="1"/>
    <xf numFmtId="164" fontId="4" fillId="0" borderId="0" xfId="0" applyNumberFormat="1" applyFont="1"/>
    <xf numFmtId="171" fontId="4" fillId="0" borderId="0" xfId="0" applyNumberFormat="1" applyFont="1"/>
    <xf numFmtId="43" fontId="15" fillId="2" borderId="33" xfId="0" applyNumberFormat="1" applyFont="1" applyFill="1" applyBorder="1"/>
    <xf numFmtId="166" fontId="15" fillId="2" borderId="8" xfId="2" applyNumberFormat="1" applyFont="1" applyFill="1" applyBorder="1" applyAlignment="1"/>
    <xf numFmtId="167" fontId="6" fillId="2" borderId="35" xfId="2" applyNumberFormat="1" applyFont="1" applyFill="1" applyBorder="1" applyAlignment="1"/>
    <xf numFmtId="167" fontId="6" fillId="2" borderId="37" xfId="2" applyNumberFormat="1" applyFont="1" applyFill="1" applyBorder="1" applyAlignment="1"/>
    <xf numFmtId="170" fontId="10" fillId="2" borderId="0" xfId="2" applyNumberFormat="1" applyFont="1" applyFill="1" applyAlignment="1"/>
    <xf numFmtId="43" fontId="15" fillId="0" borderId="8" xfId="0" applyNumberFormat="1" applyFont="1" applyBorder="1"/>
    <xf numFmtId="0" fontId="26" fillId="2" borderId="0" xfId="0" applyFont="1" applyFill="1" applyAlignment="1">
      <alignment horizontal="right"/>
    </xf>
    <xf numFmtId="169" fontId="26" fillId="2" borderId="0" xfId="0" applyNumberFormat="1" applyFont="1" applyFill="1"/>
    <xf numFmtId="169" fontId="26" fillId="2" borderId="0" xfId="0" applyNumberFormat="1" applyFont="1" applyFill="1" applyAlignment="1">
      <alignment horizontal="right"/>
    </xf>
    <xf numFmtId="0" fontId="0" fillId="0" borderId="9" xfId="0" applyBorder="1"/>
    <xf numFmtId="0" fontId="0" fillId="0" borderId="5" xfId="0" applyBorder="1"/>
    <xf numFmtId="44" fontId="26" fillId="2" borderId="0" xfId="0" applyNumberFormat="1" applyFont="1" applyFill="1"/>
    <xf numFmtId="43" fontId="1" fillId="0" borderId="17" xfId="2" applyNumberFormat="1" applyBorder="1"/>
    <xf numFmtId="43" fontId="0" fillId="0" borderId="17" xfId="0" applyNumberFormat="1" applyBorder="1"/>
    <xf numFmtId="43" fontId="0" fillId="0" borderId="4" xfId="0" applyNumberFormat="1" applyBorder="1"/>
    <xf numFmtId="0" fontId="3" fillId="14" borderId="0" xfId="0" applyFont="1" applyFill="1" applyAlignment="1">
      <alignment horizontal="right"/>
    </xf>
    <xf numFmtId="44" fontId="3" fillId="14" borderId="0" xfId="0" applyNumberFormat="1" applyFont="1" applyFill="1"/>
    <xf numFmtId="167" fontId="15" fillId="0" borderId="30" xfId="2" applyNumberFormat="1" applyFont="1" applyFill="1" applyBorder="1" applyAlignment="1"/>
    <xf numFmtId="167" fontId="15" fillId="2" borderId="30" xfId="0" applyNumberFormat="1" applyFont="1" applyFill="1" applyBorder="1" applyAlignment="1">
      <alignment wrapText="1"/>
    </xf>
    <xf numFmtId="166" fontId="15" fillId="0" borderId="55" xfId="0" applyNumberFormat="1" applyFont="1" applyBorder="1"/>
    <xf numFmtId="166" fontId="15" fillId="2" borderId="55" xfId="2" applyNumberFormat="1" applyFont="1" applyFill="1" applyBorder="1" applyAlignment="1"/>
    <xf numFmtId="166" fontId="15" fillId="0" borderId="62" xfId="0" applyNumberFormat="1" applyFont="1" applyBorder="1"/>
    <xf numFmtId="168" fontId="15" fillId="2" borderId="55" xfId="2" applyNumberFormat="1" applyFont="1" applyFill="1" applyBorder="1" applyAlignment="1"/>
    <xf numFmtId="167" fontId="7" fillId="2" borderId="30" xfId="2" applyNumberFormat="1" applyFont="1" applyFill="1" applyBorder="1" applyAlignment="1"/>
    <xf numFmtId="168" fontId="15" fillId="0" borderId="62" xfId="2" applyNumberFormat="1" applyFont="1" applyFill="1" applyBorder="1" applyAlignment="1"/>
    <xf numFmtId="168" fontId="15" fillId="0" borderId="55" xfId="2" applyNumberFormat="1" applyFont="1" applyFill="1" applyBorder="1" applyAlignment="1"/>
    <xf numFmtId="167" fontId="16" fillId="2" borderId="30" xfId="2" applyNumberFormat="1" applyFont="1" applyFill="1" applyBorder="1" applyAlignment="1"/>
    <xf numFmtId="169" fontId="15" fillId="0" borderId="33" xfId="0" applyNumberFormat="1" applyFont="1" applyBorder="1"/>
    <xf numFmtId="0" fontId="0" fillId="2" borderId="30" xfId="0" applyFill="1" applyBorder="1"/>
    <xf numFmtId="169" fontId="15" fillId="2" borderId="30" xfId="2" applyNumberFormat="1" applyFont="1" applyFill="1" applyBorder="1" applyAlignment="1"/>
    <xf numFmtId="169" fontId="15" fillId="2" borderId="30" xfId="0" applyNumberFormat="1" applyFont="1" applyFill="1" applyBorder="1"/>
    <xf numFmtId="165" fontId="15" fillId="2" borderId="43" xfId="2" applyFont="1" applyFill="1" applyBorder="1" applyAlignment="1"/>
    <xf numFmtId="167" fontId="16" fillId="0" borderId="30" xfId="2" applyNumberFormat="1" applyFont="1" applyFill="1" applyBorder="1" applyAlignment="1"/>
    <xf numFmtId="43" fontId="15" fillId="2" borderId="30" xfId="0" applyNumberFormat="1" applyFont="1" applyFill="1" applyBorder="1"/>
    <xf numFmtId="43" fontId="15" fillId="0" borderId="62" xfId="0" applyNumberFormat="1" applyFont="1" applyBorder="1"/>
    <xf numFmtId="43" fontId="15" fillId="0" borderId="55" xfId="0" applyNumberFormat="1" applyFont="1" applyBorder="1"/>
    <xf numFmtId="168" fontId="15" fillId="2" borderId="66" xfId="0" applyNumberFormat="1" applyFont="1" applyFill="1" applyBorder="1"/>
    <xf numFmtId="0" fontId="0" fillId="2" borderId="63" xfId="0" applyFill="1" applyBorder="1"/>
    <xf numFmtId="167" fontId="15" fillId="2" borderId="30" xfId="0" applyNumberFormat="1" applyFont="1" applyFill="1" applyBorder="1"/>
    <xf numFmtId="168" fontId="15" fillId="0" borderId="66" xfId="0" applyNumberFormat="1" applyFont="1" applyBorder="1"/>
    <xf numFmtId="43" fontId="15" fillId="2" borderId="55" xfId="0" applyNumberFormat="1" applyFont="1" applyFill="1" applyBorder="1"/>
    <xf numFmtId="167" fontId="15" fillId="2" borderId="35" xfId="0" applyNumberFormat="1" applyFont="1" applyFill="1" applyBorder="1" applyAlignment="1">
      <alignment wrapText="1"/>
    </xf>
    <xf numFmtId="167" fontId="15" fillId="2" borderId="37" xfId="0" applyNumberFormat="1" applyFont="1" applyFill="1" applyBorder="1" applyAlignment="1">
      <alignment wrapText="1"/>
    </xf>
    <xf numFmtId="166" fontId="15" fillId="2" borderId="55" xfId="0" applyNumberFormat="1" applyFont="1" applyFill="1" applyBorder="1"/>
    <xf numFmtId="167" fontId="37" fillId="2" borderId="30" xfId="2" applyNumberFormat="1" applyFont="1" applyFill="1" applyBorder="1" applyAlignment="1"/>
    <xf numFmtId="166" fontId="15" fillId="2" borderId="66" xfId="0" applyNumberFormat="1" applyFont="1" applyFill="1" applyBorder="1"/>
    <xf numFmtId="166" fontId="15" fillId="2" borderId="62" xfId="0" applyNumberFormat="1" applyFont="1" applyFill="1" applyBorder="1"/>
    <xf numFmtId="167" fontId="7" fillId="2" borderId="33" xfId="2" applyNumberFormat="1" applyFont="1" applyFill="1" applyBorder="1" applyAlignment="1"/>
    <xf numFmtId="167" fontId="7" fillId="0" borderId="33" xfId="2" applyNumberFormat="1" applyFont="1" applyFill="1" applyBorder="1" applyAlignment="1"/>
    <xf numFmtId="43" fontId="14" fillId="5" borderId="48" xfId="0" applyNumberFormat="1" applyFont="1" applyFill="1" applyBorder="1" applyAlignment="1">
      <alignment horizontal="center"/>
    </xf>
    <xf numFmtId="43" fontId="14" fillId="5" borderId="70" xfId="0" applyNumberFormat="1" applyFont="1" applyFill="1" applyBorder="1" applyAlignment="1">
      <alignment horizontal="center"/>
    </xf>
    <xf numFmtId="166" fontId="14" fillId="5" borderId="70" xfId="0" applyNumberFormat="1" applyFont="1" applyFill="1" applyBorder="1" applyAlignment="1">
      <alignment horizontal="center"/>
    </xf>
    <xf numFmtId="167" fontId="14" fillId="5" borderId="48" xfId="0" applyNumberFormat="1" applyFont="1" applyFill="1" applyBorder="1" applyAlignment="1">
      <alignment horizontal="center"/>
    </xf>
    <xf numFmtId="0" fontId="17" fillId="2" borderId="55" xfId="0" applyFont="1" applyFill="1" applyBorder="1" applyAlignment="1">
      <alignment textRotation="120"/>
    </xf>
    <xf numFmtId="166" fontId="15" fillId="2" borderId="55" xfId="0" applyNumberFormat="1" applyFont="1" applyFill="1" applyBorder="1" applyAlignment="1">
      <alignment horizontal="center"/>
    </xf>
    <xf numFmtId="167" fontId="6" fillId="2" borderId="43" xfId="2" applyNumberFormat="1" applyFont="1" applyFill="1" applyBorder="1" applyAlignment="1"/>
    <xf numFmtId="168" fontId="15" fillId="2" borderId="8" xfId="0" applyNumberFormat="1" applyFont="1" applyFill="1" applyBorder="1"/>
    <xf numFmtId="168" fontId="15" fillId="2" borderId="8" xfId="2" applyNumberFormat="1" applyFont="1" applyFill="1" applyBorder="1" applyAlignment="1"/>
    <xf numFmtId="166" fontId="15" fillId="2" borderId="60" xfId="0" applyNumberFormat="1" applyFont="1" applyFill="1" applyBorder="1"/>
    <xf numFmtId="167" fontId="15" fillId="2" borderId="69" xfId="2" applyNumberFormat="1" applyFont="1" applyFill="1" applyBorder="1"/>
    <xf numFmtId="169" fontId="15" fillId="2" borderId="43" xfId="0" applyNumberFormat="1" applyFont="1" applyFill="1" applyBorder="1"/>
    <xf numFmtId="0" fontId="39" fillId="6" borderId="23" xfId="0" applyFont="1" applyFill="1" applyBorder="1" applyAlignment="1">
      <alignment horizontal="left" vertical="center" wrapText="1"/>
    </xf>
    <xf numFmtId="0" fontId="39" fillId="6" borderId="40" xfId="0" applyFont="1" applyFill="1" applyBorder="1" applyAlignment="1">
      <alignment horizontal="left" vertical="center" wrapText="1"/>
    </xf>
    <xf numFmtId="0" fontId="0" fillId="0" borderId="18" xfId="0" applyBorder="1"/>
    <xf numFmtId="167" fontId="15" fillId="2" borderId="21" xfId="2" applyNumberFormat="1" applyFont="1" applyFill="1" applyBorder="1"/>
    <xf numFmtId="167" fontId="6" fillId="2" borderId="30" xfId="2" applyNumberFormat="1" applyFont="1" applyFill="1" applyBorder="1" applyAlignment="1"/>
    <xf numFmtId="43" fontId="15" fillId="2" borderId="8" xfId="0" applyNumberFormat="1" applyFont="1" applyFill="1" applyBorder="1"/>
    <xf numFmtId="17" fontId="15" fillId="2" borderId="8" xfId="0" applyNumberFormat="1" applyFont="1" applyFill="1" applyBorder="1" applyAlignment="1">
      <alignment horizontal="center"/>
    </xf>
    <xf numFmtId="166" fontId="15" fillId="2" borderId="51" xfId="0" applyNumberFormat="1" applyFont="1" applyFill="1" applyBorder="1"/>
    <xf numFmtId="167" fontId="15" fillId="2" borderId="52" xfId="0" applyNumberFormat="1" applyFont="1" applyFill="1" applyBorder="1"/>
    <xf numFmtId="167" fontId="15" fillId="2" borderId="35" xfId="0" applyNumberFormat="1" applyFont="1" applyFill="1" applyBorder="1"/>
    <xf numFmtId="168" fontId="15" fillId="2" borderId="60" xfId="2" applyNumberFormat="1" applyFont="1" applyFill="1" applyBorder="1" applyAlignment="1"/>
    <xf numFmtId="168" fontId="15" fillId="2" borderId="61" xfId="2" applyNumberFormat="1" applyFont="1" applyFill="1" applyBorder="1" applyAlignment="1"/>
    <xf numFmtId="167" fontId="15" fillId="2" borderId="37" xfId="2" applyNumberFormat="1" applyFont="1" applyFill="1" applyBorder="1" applyAlignment="1"/>
    <xf numFmtId="167" fontId="15" fillId="2" borderId="37" xfId="0" applyNumberFormat="1" applyFont="1" applyFill="1" applyBorder="1"/>
    <xf numFmtId="169" fontId="15" fillId="2" borderId="35" xfId="2" applyNumberFormat="1" applyFont="1" applyFill="1" applyBorder="1" applyAlignment="1"/>
    <xf numFmtId="166" fontId="15" fillId="2" borderId="54" xfId="0" applyNumberFormat="1" applyFont="1" applyFill="1" applyBorder="1"/>
    <xf numFmtId="167" fontId="15" fillId="2" borderId="35" xfId="2" applyNumberFormat="1" applyFont="1" applyFill="1" applyBorder="1" applyAlignment="1"/>
    <xf numFmtId="43" fontId="15" fillId="2" borderId="66" xfId="0" applyNumberFormat="1" applyFont="1" applyFill="1" applyBorder="1"/>
    <xf numFmtId="166" fontId="15" fillId="2" borderId="8" xfId="0" applyNumberFormat="1" applyFont="1" applyFill="1" applyBorder="1" applyAlignment="1">
      <alignment horizontal="center"/>
    </xf>
    <xf numFmtId="167" fontId="15" fillId="2" borderId="30" xfId="0" applyNumberFormat="1" applyFont="1" applyFill="1" applyBorder="1" applyAlignment="1">
      <alignment horizontal="center"/>
    </xf>
    <xf numFmtId="0" fontId="17" fillId="2" borderId="55" xfId="0" applyFont="1" applyFill="1" applyBorder="1"/>
    <xf numFmtId="168" fontId="15" fillId="2" borderId="55" xfId="0" applyNumberFormat="1" applyFont="1" applyFill="1" applyBorder="1"/>
    <xf numFmtId="0" fontId="17" fillId="2" borderId="63" xfId="0" applyFont="1" applyFill="1" applyBorder="1"/>
    <xf numFmtId="167" fontId="35" fillId="2" borderId="30" xfId="2" applyNumberFormat="1" applyFont="1" applyFill="1" applyBorder="1" applyAlignment="1"/>
    <xf numFmtId="43" fontId="15" fillId="2" borderId="60" xfId="0" applyNumberFormat="1" applyFont="1" applyFill="1" applyBorder="1"/>
    <xf numFmtId="167" fontId="15" fillId="2" borderId="32" xfId="0" applyNumberFormat="1" applyFont="1" applyFill="1" applyBorder="1"/>
    <xf numFmtId="170" fontId="15" fillId="2" borderId="60" xfId="2" applyNumberFormat="1" applyFont="1" applyFill="1" applyBorder="1" applyAlignment="1"/>
    <xf numFmtId="165" fontId="1" fillId="2" borderId="1" xfId="2" applyFill="1" applyBorder="1"/>
    <xf numFmtId="165" fontId="0" fillId="2" borderId="1" xfId="0" applyNumberFormat="1" applyFill="1" applyBorder="1"/>
    <xf numFmtId="165" fontId="17" fillId="2" borderId="1" xfId="2" applyFont="1" applyFill="1" applyBorder="1"/>
    <xf numFmtId="165" fontId="0" fillId="2" borderId="1" xfId="2" applyFont="1" applyFill="1" applyBorder="1"/>
    <xf numFmtId="165" fontId="16" fillId="2" borderId="30" xfId="2" applyFont="1" applyFill="1" applyBorder="1" applyAlignment="1"/>
    <xf numFmtId="165" fontId="15" fillId="0" borderId="30" xfId="2" applyFont="1" applyFill="1" applyBorder="1" applyAlignment="1"/>
    <xf numFmtId="168" fontId="15" fillId="0" borderId="21" xfId="2" applyNumberFormat="1" applyFont="1" applyFill="1" applyBorder="1" applyAlignment="1"/>
    <xf numFmtId="165" fontId="13" fillId="0" borderId="53" xfId="2" applyFont="1" applyFill="1" applyBorder="1" applyAlignment="1"/>
    <xf numFmtId="167" fontId="15" fillId="0" borderId="30" xfId="0" applyNumberFormat="1" applyFont="1" applyBorder="1"/>
    <xf numFmtId="0" fontId="0" fillId="2" borderId="8" xfId="0" applyFill="1" applyBorder="1"/>
    <xf numFmtId="166" fontId="15" fillId="0" borderId="55" xfId="2" applyNumberFormat="1" applyFont="1" applyFill="1" applyBorder="1" applyAlignment="1"/>
    <xf numFmtId="43" fontId="5" fillId="0" borderId="56" xfId="0" applyNumberFormat="1" applyFont="1" applyBorder="1"/>
    <xf numFmtId="166" fontId="13" fillId="0" borderId="8" xfId="2" applyNumberFormat="1" applyFont="1" applyFill="1" applyBorder="1" applyAlignment="1"/>
    <xf numFmtId="166" fontId="13" fillId="0" borderId="51" xfId="2" applyNumberFormat="1" applyFont="1" applyFill="1" applyBorder="1" applyAlignment="1"/>
    <xf numFmtId="169" fontId="15" fillId="2" borderId="9" xfId="2" applyNumberFormat="1" applyFont="1" applyFill="1" applyBorder="1" applyAlignment="1"/>
    <xf numFmtId="166" fontId="15" fillId="0" borderId="20" xfId="0" applyNumberFormat="1" applyFont="1" applyBorder="1"/>
    <xf numFmtId="166" fontId="15" fillId="0" borderId="8" xfId="0" applyNumberFormat="1" applyFont="1" applyBorder="1"/>
    <xf numFmtId="169" fontId="15" fillId="2" borderId="37" xfId="2" applyNumberFormat="1" applyFont="1" applyFill="1" applyBorder="1" applyAlignment="1"/>
    <xf numFmtId="166" fontId="13" fillId="0" borderId="41" xfId="2" applyNumberFormat="1" applyFont="1" applyFill="1" applyBorder="1" applyAlignment="1"/>
    <xf numFmtId="166" fontId="15" fillId="0" borderId="16" xfId="0" applyNumberFormat="1" applyFont="1" applyBorder="1"/>
    <xf numFmtId="166" fontId="15" fillId="0" borderId="60" xfId="0" applyNumberFormat="1" applyFont="1" applyBorder="1"/>
    <xf numFmtId="166" fontId="15" fillId="0" borderId="8" xfId="2" applyNumberFormat="1" applyFont="1" applyFill="1" applyBorder="1" applyAlignment="1"/>
    <xf numFmtId="43" fontId="15" fillId="2" borderId="20" xfId="0" applyNumberFormat="1" applyFont="1" applyFill="1" applyBorder="1"/>
    <xf numFmtId="43" fontId="15" fillId="2" borderId="51" xfId="0" applyNumberFormat="1" applyFont="1" applyFill="1" applyBorder="1"/>
    <xf numFmtId="43" fontId="15" fillId="2" borderId="16" xfId="0" applyNumberFormat="1" applyFont="1" applyFill="1" applyBorder="1"/>
    <xf numFmtId="167" fontId="15" fillId="0" borderId="9" xfId="2" applyNumberFormat="1" applyFont="1" applyFill="1" applyBorder="1" applyAlignment="1"/>
    <xf numFmtId="166" fontId="15" fillId="0" borderId="17" xfId="2" applyNumberFormat="1" applyFont="1" applyFill="1" applyBorder="1" applyAlignment="1"/>
    <xf numFmtId="166" fontId="6" fillId="2" borderId="8" xfId="0" applyNumberFormat="1" applyFont="1" applyFill="1" applyBorder="1" applyAlignment="1">
      <alignment horizontal="center"/>
    </xf>
    <xf numFmtId="167" fontId="15" fillId="0" borderId="5" xfId="2" applyNumberFormat="1" applyFont="1" applyFill="1" applyBorder="1" applyAlignment="1"/>
    <xf numFmtId="168" fontId="13" fillId="15" borderId="64" xfId="2" applyNumberFormat="1" applyFont="1" applyFill="1" applyBorder="1" applyAlignment="1"/>
    <xf numFmtId="165" fontId="13" fillId="15" borderId="53" xfId="2" applyFont="1" applyFill="1" applyBorder="1" applyAlignment="1"/>
    <xf numFmtId="166" fontId="13" fillId="15" borderId="58" xfId="2" applyNumberFormat="1" applyFont="1" applyFill="1" applyBorder="1" applyAlignment="1"/>
    <xf numFmtId="167" fontId="13" fillId="15" borderId="53" xfId="2" applyNumberFormat="1" applyFont="1" applyFill="1" applyBorder="1" applyAlignment="1"/>
    <xf numFmtId="167" fontId="13" fillId="15" borderId="49" xfId="2" applyNumberFormat="1" applyFont="1" applyFill="1" applyBorder="1" applyAlignment="1"/>
    <xf numFmtId="166" fontId="13" fillId="15" borderId="13" xfId="2" applyNumberFormat="1" applyFont="1" applyFill="1" applyBorder="1" applyAlignment="1"/>
    <xf numFmtId="169" fontId="13" fillId="15" borderId="49" xfId="0" applyNumberFormat="1" applyFont="1" applyFill="1" applyBorder="1"/>
    <xf numFmtId="166" fontId="13" fillId="15" borderId="38" xfId="2" applyNumberFormat="1" applyFont="1" applyFill="1" applyBorder="1" applyAlignment="1"/>
    <xf numFmtId="167" fontId="13" fillId="15" borderId="34" xfId="2" applyNumberFormat="1" applyFont="1" applyFill="1" applyBorder="1" applyAlignment="1"/>
    <xf numFmtId="166" fontId="13" fillId="15" borderId="61" xfId="2" applyNumberFormat="1" applyFont="1" applyFill="1" applyBorder="1" applyAlignment="1"/>
    <xf numFmtId="165" fontId="13" fillId="15" borderId="34" xfId="2" applyFont="1" applyFill="1" applyBorder="1" applyAlignment="1"/>
    <xf numFmtId="168" fontId="13" fillId="15" borderId="64" xfId="0" applyNumberFormat="1" applyFont="1" applyFill="1" applyBorder="1"/>
    <xf numFmtId="168" fontId="13" fillId="15" borderId="14" xfId="0" applyNumberFormat="1" applyFont="1" applyFill="1" applyBorder="1"/>
    <xf numFmtId="167" fontId="13" fillId="15" borderId="49" xfId="0" applyNumberFormat="1" applyFont="1" applyFill="1" applyBorder="1"/>
    <xf numFmtId="166" fontId="13" fillId="15" borderId="64" xfId="0" applyNumberFormat="1" applyFont="1" applyFill="1" applyBorder="1"/>
    <xf numFmtId="4" fontId="3" fillId="2" borderId="1" xfId="0" applyNumberFormat="1" applyFont="1" applyFill="1" applyBorder="1"/>
    <xf numFmtId="0" fontId="2" fillId="2" borderId="0" xfId="0" applyFont="1" applyFill="1"/>
    <xf numFmtId="168" fontId="13" fillId="15" borderId="58" xfId="2" applyNumberFormat="1" applyFont="1" applyFill="1" applyBorder="1" applyAlignment="1"/>
    <xf numFmtId="165" fontId="13" fillId="15" borderId="81" xfId="2" applyFont="1" applyFill="1" applyBorder="1" applyAlignment="1"/>
    <xf numFmtId="43" fontId="5" fillId="15" borderId="39" xfId="0" applyNumberFormat="1" applyFont="1" applyFill="1" applyBorder="1"/>
    <xf numFmtId="0" fontId="0" fillId="2" borderId="54" xfId="0" applyFill="1" applyBorder="1"/>
    <xf numFmtId="0" fontId="0" fillId="2" borderId="52" xfId="0" applyFill="1" applyBorder="1"/>
    <xf numFmtId="44" fontId="6" fillId="2" borderId="84" xfId="0" applyNumberFormat="1" applyFont="1" applyFill="1" applyBorder="1"/>
    <xf numFmtId="167" fontId="15" fillId="2" borderId="53" xfId="0" applyNumberFormat="1" applyFont="1" applyFill="1" applyBorder="1"/>
    <xf numFmtId="43" fontId="15" fillId="2" borderId="10" xfId="0" applyNumberFormat="1" applyFont="1" applyFill="1" applyBorder="1"/>
    <xf numFmtId="43" fontId="15" fillId="2" borderId="17" xfId="0" applyNumberFormat="1" applyFont="1" applyFill="1" applyBorder="1"/>
    <xf numFmtId="168" fontId="15" fillId="0" borderId="8" xfId="2" applyNumberFormat="1" applyFont="1" applyFill="1" applyBorder="1" applyAlignment="1"/>
    <xf numFmtId="0" fontId="17" fillId="0" borderId="8" xfId="0" applyFont="1" applyBorder="1"/>
    <xf numFmtId="0" fontId="36" fillId="0" borderId="8" xfId="0" applyFont="1" applyBorder="1"/>
    <xf numFmtId="168" fontId="15" fillId="0" borderId="16" xfId="0" applyNumberFormat="1" applyFont="1" applyBorder="1"/>
    <xf numFmtId="169" fontId="15" fillId="2" borderId="9" xfId="0" applyNumberFormat="1" applyFont="1" applyFill="1" applyBorder="1"/>
    <xf numFmtId="167" fontId="15" fillId="2" borderId="11" xfId="2" applyNumberFormat="1" applyFont="1" applyFill="1" applyBorder="1" applyAlignment="1"/>
    <xf numFmtId="169" fontId="13" fillId="15" borderId="80" xfId="0" applyNumberFormat="1" applyFont="1" applyFill="1" applyBorder="1"/>
    <xf numFmtId="165" fontId="13" fillId="0" borderId="87" xfId="2" applyFont="1" applyFill="1" applyBorder="1" applyAlignment="1"/>
    <xf numFmtId="168" fontId="13" fillId="15" borderId="14" xfId="2" applyNumberFormat="1" applyFont="1" applyFill="1" applyBorder="1" applyAlignment="1"/>
    <xf numFmtId="17" fontId="15" fillId="2" borderId="62" xfId="0" applyNumberFormat="1" applyFont="1" applyFill="1" applyBorder="1" applyAlignment="1">
      <alignment horizontal="center"/>
    </xf>
    <xf numFmtId="43" fontId="15" fillId="2" borderId="23" xfId="0" applyNumberFormat="1" applyFont="1" applyFill="1" applyBorder="1"/>
    <xf numFmtId="167" fontId="15" fillId="2" borderId="9" xfId="0" applyNumberFormat="1" applyFont="1" applyFill="1" applyBorder="1"/>
    <xf numFmtId="165" fontId="15" fillId="2" borderId="9" xfId="2" applyFont="1" applyFill="1" applyBorder="1" applyAlignment="1"/>
    <xf numFmtId="165" fontId="3" fillId="2" borderId="0" xfId="0" applyNumberFormat="1" applyFont="1" applyFill="1"/>
    <xf numFmtId="168" fontId="26" fillId="2" borderId="0" xfId="2" applyNumberFormat="1" applyFont="1" applyFill="1"/>
    <xf numFmtId="43" fontId="5" fillId="0" borderId="71" xfId="0" applyNumberFormat="1" applyFont="1" applyBorder="1"/>
    <xf numFmtId="43" fontId="5" fillId="2" borderId="71" xfId="0" applyNumberFormat="1" applyFont="1" applyFill="1" applyBorder="1"/>
    <xf numFmtId="0" fontId="0" fillId="2" borderId="71" xfId="0" applyFill="1" applyBorder="1"/>
    <xf numFmtId="167" fontId="15" fillId="2" borderId="33" xfId="2" applyNumberFormat="1" applyFont="1" applyFill="1" applyBorder="1" applyAlignment="1">
      <alignment horizontal="right"/>
    </xf>
    <xf numFmtId="170" fontId="15" fillId="2" borderId="6" xfId="2" applyNumberFormat="1" applyFont="1" applyFill="1" applyBorder="1" applyAlignment="1"/>
    <xf numFmtId="168" fontId="13" fillId="15" borderId="38" xfId="1" applyNumberFormat="1" applyFont="1" applyFill="1" applyBorder="1" applyAlignment="1"/>
    <xf numFmtId="17" fontId="15" fillId="2" borderId="33" xfId="0" applyNumberFormat="1" applyFont="1" applyFill="1" applyBorder="1" applyAlignment="1">
      <alignment horizontal="center"/>
    </xf>
    <xf numFmtId="165" fontId="15" fillId="2" borderId="11" xfId="2" applyFont="1" applyFill="1" applyBorder="1" applyAlignment="1"/>
    <xf numFmtId="168" fontId="15" fillId="2" borderId="16" xfId="0" applyNumberFormat="1" applyFont="1" applyFill="1" applyBorder="1"/>
    <xf numFmtId="166" fontId="15" fillId="2" borderId="24" xfId="0" applyNumberFormat="1" applyFont="1" applyFill="1" applyBorder="1" applyAlignment="1">
      <alignment horizontal="center"/>
    </xf>
    <xf numFmtId="167" fontId="15" fillId="2" borderId="9" xfId="2" applyNumberFormat="1" applyFont="1" applyFill="1" applyBorder="1"/>
    <xf numFmtId="166" fontId="15" fillId="2" borderId="17" xfId="0" applyNumberFormat="1" applyFont="1" applyFill="1" applyBorder="1"/>
    <xf numFmtId="167" fontId="37" fillId="2" borderId="9" xfId="2" applyNumberFormat="1" applyFont="1" applyFill="1" applyBorder="1" applyAlignment="1"/>
    <xf numFmtId="165" fontId="15" fillId="2" borderId="9" xfId="2" applyFont="1" applyFill="1" applyBorder="1" applyAlignment="1">
      <alignment wrapText="1"/>
    </xf>
    <xf numFmtId="166" fontId="15" fillId="2" borderId="78" xfId="0" applyNumberFormat="1" applyFont="1" applyFill="1" applyBorder="1"/>
    <xf numFmtId="165" fontId="13" fillId="15" borderId="80" xfId="2" applyFont="1" applyFill="1" applyBorder="1" applyAlignment="1"/>
    <xf numFmtId="17" fontId="15" fillId="2" borderId="20" xfId="0" applyNumberFormat="1" applyFont="1" applyFill="1" applyBorder="1" applyAlignment="1">
      <alignment horizontal="center"/>
    </xf>
    <xf numFmtId="165" fontId="15" fillId="2" borderId="82" xfId="2" applyFont="1" applyFill="1" applyBorder="1" applyAlignment="1"/>
    <xf numFmtId="165" fontId="15" fillId="2" borderId="47" xfId="2" applyFont="1" applyFill="1" applyBorder="1" applyAlignment="1"/>
    <xf numFmtId="166" fontId="15" fillId="2" borderId="24" xfId="0" applyNumberFormat="1" applyFont="1" applyFill="1" applyBorder="1"/>
    <xf numFmtId="165" fontId="15" fillId="2" borderId="87" xfId="2" applyFont="1" applyFill="1" applyBorder="1" applyAlignment="1"/>
    <xf numFmtId="165" fontId="15" fillId="2" borderId="77" xfId="2" applyFont="1" applyFill="1" applyBorder="1" applyAlignment="1"/>
    <xf numFmtId="165" fontId="5" fillId="2" borderId="83" xfId="2" applyFont="1" applyFill="1" applyBorder="1" applyAlignment="1"/>
    <xf numFmtId="167" fontId="15" fillId="2" borderId="23" xfId="0" applyNumberFormat="1" applyFont="1" applyFill="1" applyBorder="1"/>
    <xf numFmtId="167" fontId="15" fillId="2" borderId="82" xfId="0" applyNumberFormat="1" applyFont="1" applyFill="1" applyBorder="1" applyAlignment="1">
      <alignment wrapText="1"/>
    </xf>
    <xf numFmtId="166" fontId="15" fillId="2" borderId="17" xfId="2" applyNumberFormat="1" applyFont="1" applyFill="1" applyBorder="1" applyAlignment="1">
      <alignment wrapText="1"/>
    </xf>
    <xf numFmtId="167" fontId="15" fillId="2" borderId="5" xfId="0" applyNumberFormat="1" applyFont="1" applyFill="1" applyBorder="1" applyAlignment="1">
      <alignment wrapText="1"/>
    </xf>
    <xf numFmtId="166" fontId="15" fillId="2" borderId="4" xfId="2" applyNumberFormat="1" applyFont="1" applyFill="1" applyBorder="1" applyAlignment="1">
      <alignment wrapText="1"/>
    </xf>
    <xf numFmtId="167" fontId="7" fillId="0" borderId="23" xfId="2" applyNumberFormat="1" applyFont="1" applyFill="1" applyBorder="1" applyAlignment="1"/>
    <xf numFmtId="167" fontId="16" fillId="0" borderId="9" xfId="2" applyNumberFormat="1" applyFont="1" applyFill="1" applyBorder="1" applyAlignment="1"/>
    <xf numFmtId="166" fontId="14" fillId="5" borderId="44" xfId="0" applyNumberFormat="1" applyFont="1" applyFill="1" applyBorder="1" applyAlignment="1">
      <alignment horizontal="center"/>
    </xf>
    <xf numFmtId="167" fontId="15" fillId="0" borderId="11" xfId="2" applyNumberFormat="1" applyFont="1" applyFill="1" applyBorder="1" applyAlignment="1"/>
    <xf numFmtId="168" fontId="13" fillId="15" borderId="49" xfId="0" applyNumberFormat="1" applyFont="1" applyFill="1" applyBorder="1"/>
    <xf numFmtId="165" fontId="13" fillId="15" borderId="79" xfId="2" applyFont="1" applyFill="1" applyBorder="1"/>
    <xf numFmtId="43" fontId="5" fillId="2" borderId="82" xfId="0" applyNumberFormat="1" applyFont="1" applyFill="1" applyBorder="1"/>
    <xf numFmtId="165" fontId="13" fillId="15" borderId="80" xfId="2" applyFont="1" applyFill="1" applyBorder="1"/>
    <xf numFmtId="168" fontId="13" fillId="15" borderId="13" xfId="1" applyNumberFormat="1" applyFont="1" applyFill="1" applyBorder="1"/>
    <xf numFmtId="0" fontId="0" fillId="2" borderId="31" xfId="0" applyFill="1" applyBorder="1"/>
    <xf numFmtId="173" fontId="0" fillId="0" borderId="1" xfId="0" applyNumberFormat="1" applyBorder="1" applyAlignment="1">
      <alignment horizontal="center" vertical="center"/>
    </xf>
    <xf numFmtId="174" fontId="41" fillId="0" borderId="1" xfId="6" applyNumberFormat="1" applyFont="1" applyBorder="1" applyAlignment="1">
      <alignment horizontal="center" vertical="center" wrapText="1"/>
    </xf>
    <xf numFmtId="166" fontId="13" fillId="15" borderId="39" xfId="2" applyNumberFormat="1" applyFont="1" applyFill="1" applyBorder="1" applyAlignment="1"/>
    <xf numFmtId="168" fontId="18" fillId="0" borderId="8" xfId="2" applyNumberFormat="1" applyFont="1" applyFill="1" applyBorder="1" applyAlignment="1"/>
    <xf numFmtId="43" fontId="18" fillId="2" borderId="55" xfId="0" applyNumberFormat="1" applyFont="1" applyFill="1" applyBorder="1"/>
    <xf numFmtId="43" fontId="18" fillId="2" borderId="8" xfId="0" applyNumberFormat="1" applyFont="1" applyFill="1" applyBorder="1"/>
    <xf numFmtId="166" fontId="18" fillId="2" borderId="17" xfId="0" applyNumberFormat="1" applyFont="1" applyFill="1" applyBorder="1"/>
    <xf numFmtId="166" fontId="18" fillId="2" borderId="55" xfId="0" applyNumberFormat="1" applyFont="1" applyFill="1" applyBorder="1"/>
    <xf numFmtId="168" fontId="2" fillId="2" borderId="0" xfId="0" applyNumberFormat="1" applyFont="1" applyFill="1"/>
    <xf numFmtId="171" fontId="2" fillId="0" borderId="0" xfId="0" applyNumberFormat="1" applyFont="1"/>
    <xf numFmtId="167" fontId="15" fillId="2" borderId="90" xfId="0" applyNumberFormat="1" applyFont="1" applyFill="1" applyBorder="1"/>
    <xf numFmtId="166" fontId="15" fillId="0" borderId="17" xfId="0" applyNumberFormat="1" applyFont="1" applyBorder="1"/>
    <xf numFmtId="167" fontId="15" fillId="2" borderId="89" xfId="0" applyNumberFormat="1" applyFont="1" applyFill="1" applyBorder="1"/>
    <xf numFmtId="166" fontId="15" fillId="2" borderId="4" xfId="0" applyNumberFormat="1" applyFont="1" applyFill="1" applyBorder="1"/>
    <xf numFmtId="0" fontId="32" fillId="13" borderId="47" xfId="0" applyFont="1" applyFill="1" applyBorder="1"/>
    <xf numFmtId="0" fontId="6" fillId="0" borderId="77" xfId="0" applyFont="1" applyBorder="1"/>
    <xf numFmtId="0" fontId="15" fillId="0" borderId="89" xfId="0" applyFont="1" applyBorder="1"/>
    <xf numFmtId="169" fontId="15" fillId="0" borderId="23" xfId="0" applyNumberFormat="1" applyFont="1" applyBorder="1"/>
    <xf numFmtId="0" fontId="15" fillId="0" borderId="8" xfId="0" applyFont="1" applyBorder="1"/>
    <xf numFmtId="0" fontId="6" fillId="0" borderId="8" xfId="0" applyFont="1" applyBorder="1"/>
    <xf numFmtId="0" fontId="6" fillId="0" borderId="16" xfId="0" applyFont="1" applyBorder="1"/>
    <xf numFmtId="0" fontId="14" fillId="0" borderId="88" xfId="0" applyFont="1" applyBorder="1" applyAlignment="1">
      <alignment horizontal="right"/>
    </xf>
    <xf numFmtId="0" fontId="32" fillId="13" borderId="8" xfId="0" applyFont="1" applyFill="1" applyBorder="1" applyAlignment="1">
      <alignment horizontal="left"/>
    </xf>
    <xf numFmtId="0" fontId="14" fillId="15" borderId="88" xfId="0" applyFont="1" applyFill="1" applyBorder="1" applyAlignment="1">
      <alignment horizontal="right"/>
    </xf>
    <xf numFmtId="0" fontId="14" fillId="0" borderId="12" xfId="0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167" fontId="7" fillId="2" borderId="11" xfId="2" applyNumberFormat="1" applyFont="1" applyFill="1" applyBorder="1" applyAlignment="1"/>
    <xf numFmtId="167" fontId="16" fillId="2" borderId="9" xfId="2" applyNumberFormat="1" applyFont="1" applyFill="1" applyBorder="1" applyAlignment="1"/>
    <xf numFmtId="169" fontId="15" fillId="0" borderId="9" xfId="0" applyNumberFormat="1" applyFont="1" applyBorder="1"/>
    <xf numFmtId="169" fontId="15" fillId="0" borderId="82" xfId="0" applyNumberFormat="1" applyFont="1" applyBorder="1"/>
    <xf numFmtId="169" fontId="15" fillId="2" borderId="82" xfId="0" applyNumberFormat="1" applyFont="1" applyFill="1" applyBorder="1"/>
    <xf numFmtId="165" fontId="13" fillId="15" borderId="81" xfId="2" applyFont="1" applyFill="1" applyBorder="1"/>
    <xf numFmtId="166" fontId="13" fillId="15" borderId="39" xfId="2" applyNumberFormat="1" applyFont="1" applyFill="1" applyBorder="1"/>
    <xf numFmtId="166" fontId="15" fillId="0" borderId="10" xfId="0" applyNumberFormat="1" applyFont="1" applyBorder="1"/>
    <xf numFmtId="167" fontId="15" fillId="2" borderId="23" xfId="0" applyNumberFormat="1" applyFont="1" applyFill="1" applyBorder="1" applyAlignment="1">
      <alignment horizontal="center"/>
    </xf>
    <xf numFmtId="168" fontId="13" fillId="15" borderId="46" xfId="0" applyNumberFormat="1" applyFont="1" applyFill="1" applyBorder="1"/>
    <xf numFmtId="167" fontId="15" fillId="2" borderId="82" xfId="0" applyNumberFormat="1" applyFont="1" applyFill="1" applyBorder="1"/>
    <xf numFmtId="167" fontId="13" fillId="15" borderId="80" xfId="0" applyNumberFormat="1" applyFont="1" applyFill="1" applyBorder="1"/>
    <xf numFmtId="168" fontId="13" fillId="15" borderId="22" xfId="0" applyNumberFormat="1" applyFont="1" applyFill="1" applyBorder="1"/>
    <xf numFmtId="166" fontId="15" fillId="2" borderId="6" xfId="0" applyNumberFormat="1" applyFont="1" applyFill="1" applyBorder="1"/>
    <xf numFmtId="167" fontId="7" fillId="0" borderId="19" xfId="2" applyNumberFormat="1" applyFont="1" applyFill="1" applyBorder="1" applyAlignment="1"/>
    <xf numFmtId="167" fontId="16" fillId="0" borderId="15" xfId="2" applyNumberFormat="1" applyFont="1" applyFill="1" applyBorder="1" applyAlignment="1"/>
    <xf numFmtId="165" fontId="15" fillId="2" borderId="15" xfId="2" applyFont="1" applyFill="1" applyBorder="1" applyAlignment="1"/>
    <xf numFmtId="168" fontId="15" fillId="2" borderId="71" xfId="2" applyNumberFormat="1" applyFont="1" applyFill="1" applyBorder="1" applyAlignment="1"/>
    <xf numFmtId="43" fontId="15" fillId="2" borderId="62" xfId="0" applyNumberFormat="1" applyFont="1" applyFill="1" applyBorder="1"/>
    <xf numFmtId="168" fontId="15" fillId="0" borderId="20" xfId="2" applyNumberFormat="1" applyFont="1" applyFill="1" applyBorder="1" applyAlignment="1"/>
    <xf numFmtId="168" fontId="15" fillId="0" borderId="16" xfId="2" applyNumberFormat="1" applyFont="1" applyFill="1" applyBorder="1" applyAlignment="1"/>
    <xf numFmtId="43" fontId="15" fillId="2" borderId="52" xfId="0" applyNumberFormat="1" applyFont="1" applyFill="1" applyBorder="1"/>
    <xf numFmtId="167" fontId="16" fillId="2" borderId="35" xfId="2" applyNumberFormat="1" applyFont="1" applyFill="1" applyBorder="1" applyAlignment="1"/>
    <xf numFmtId="43" fontId="5" fillId="0" borderId="37" xfId="0" applyNumberFormat="1" applyFont="1" applyBorder="1"/>
    <xf numFmtId="169" fontId="13" fillId="15" borderId="45" xfId="2" applyNumberFormat="1" applyFont="1" applyFill="1" applyBorder="1" applyAlignment="1"/>
    <xf numFmtId="168" fontId="13" fillId="15" borderId="63" xfId="2" applyNumberFormat="1" applyFont="1" applyFill="1" applyBorder="1" applyAlignment="1"/>
    <xf numFmtId="169" fontId="15" fillId="2" borderId="65" xfId="0" applyNumberFormat="1" applyFont="1" applyFill="1" applyBorder="1"/>
    <xf numFmtId="169" fontId="13" fillId="15" borderId="73" xfId="2" applyNumberFormat="1" applyFont="1" applyFill="1" applyBorder="1" applyAlignment="1"/>
    <xf numFmtId="169" fontId="35" fillId="2" borderId="43" xfId="0" applyNumberFormat="1" applyFont="1" applyFill="1" applyBorder="1"/>
    <xf numFmtId="169" fontId="13" fillId="15" borderId="57" xfId="0" applyNumberFormat="1" applyFont="1" applyFill="1" applyBorder="1"/>
    <xf numFmtId="43" fontId="5" fillId="2" borderId="2" xfId="0" applyNumberFormat="1" applyFont="1" applyFill="1" applyBorder="1"/>
    <xf numFmtId="43" fontId="5" fillId="2" borderId="32" xfId="0" applyNumberFormat="1" applyFont="1" applyFill="1" applyBorder="1"/>
    <xf numFmtId="43" fontId="15" fillId="2" borderId="70" xfId="0" applyNumberFormat="1" applyFont="1" applyFill="1" applyBorder="1"/>
    <xf numFmtId="43" fontId="15" fillId="2" borderId="71" xfId="0" applyNumberFormat="1" applyFont="1" applyFill="1" applyBorder="1"/>
    <xf numFmtId="168" fontId="13" fillId="15" borderId="2" xfId="2" applyNumberFormat="1" applyFont="1" applyFill="1" applyBorder="1"/>
    <xf numFmtId="166" fontId="18" fillId="2" borderId="8" xfId="0" applyNumberFormat="1" applyFont="1" applyFill="1" applyBorder="1"/>
    <xf numFmtId="166" fontId="15" fillId="2" borderId="17" xfId="0" applyNumberFormat="1" applyFont="1" applyFill="1" applyBorder="1" applyAlignment="1">
      <alignment horizontal="center"/>
    </xf>
    <xf numFmtId="167" fontId="13" fillId="15" borderId="79" xfId="0" applyNumberFormat="1" applyFont="1" applyFill="1" applyBorder="1"/>
    <xf numFmtId="166" fontId="15" fillId="2" borderId="4" xfId="0" applyNumberFormat="1" applyFont="1" applyFill="1" applyBorder="1" applyAlignment="1">
      <alignment vertical="center"/>
    </xf>
    <xf numFmtId="166" fontId="13" fillId="15" borderId="94" xfId="2" applyNumberFormat="1" applyFont="1" applyFill="1" applyBorder="1" applyAlignment="1"/>
    <xf numFmtId="166" fontId="15" fillId="2" borderId="17" xfId="2" applyNumberFormat="1" applyFont="1" applyFill="1" applyBorder="1" applyAlignment="1"/>
    <xf numFmtId="0" fontId="17" fillId="2" borderId="9" xfId="0" applyFont="1" applyFill="1" applyBorder="1"/>
    <xf numFmtId="166" fontId="13" fillId="15" borderId="13" xfId="1" applyNumberFormat="1" applyFont="1" applyFill="1" applyBorder="1" applyAlignment="1"/>
    <xf numFmtId="167" fontId="15" fillId="2" borderId="5" xfId="2" applyNumberFormat="1" applyFont="1" applyFill="1" applyBorder="1" applyAlignment="1"/>
    <xf numFmtId="170" fontId="0" fillId="2" borderId="0" xfId="2" applyNumberFormat="1" applyFont="1" applyFill="1"/>
    <xf numFmtId="166" fontId="13" fillId="15" borderId="3" xfId="0" applyNumberFormat="1" applyFont="1" applyFill="1" applyBorder="1"/>
    <xf numFmtId="167" fontId="13" fillId="15" borderId="91" xfId="0" applyNumberFormat="1" applyFont="1" applyFill="1" applyBorder="1"/>
    <xf numFmtId="168" fontId="13" fillId="0" borderId="87" xfId="2" applyNumberFormat="1" applyFont="1" applyFill="1" applyBorder="1" applyAlignment="1"/>
    <xf numFmtId="43" fontId="15" fillId="2" borderId="4" xfId="0" applyNumberFormat="1" applyFont="1" applyFill="1" applyBorder="1"/>
    <xf numFmtId="167" fontId="7" fillId="2" borderId="23" xfId="2" applyNumberFormat="1" applyFont="1" applyFill="1" applyBorder="1" applyAlignment="1"/>
    <xf numFmtId="43" fontId="15" fillId="2" borderId="24" xfId="0" applyNumberFormat="1" applyFont="1" applyFill="1" applyBorder="1"/>
    <xf numFmtId="169" fontId="13" fillId="2" borderId="5" xfId="2" applyNumberFormat="1" applyFont="1" applyFill="1" applyBorder="1" applyAlignment="1"/>
    <xf numFmtId="17" fontId="15" fillId="2" borderId="24" xfId="0" applyNumberFormat="1" applyFont="1" applyFill="1" applyBorder="1" applyAlignment="1">
      <alignment horizontal="center"/>
    </xf>
    <xf numFmtId="171" fontId="15" fillId="2" borderId="17" xfId="2" applyNumberFormat="1" applyFont="1" applyFill="1" applyBorder="1" applyAlignment="1"/>
    <xf numFmtId="168" fontId="15" fillId="2" borderId="17" xfId="2" applyNumberFormat="1" applyFont="1" applyFill="1" applyBorder="1" applyAlignment="1"/>
    <xf numFmtId="165" fontId="13" fillId="15" borderId="18" xfId="2" applyFont="1" applyFill="1" applyBorder="1" applyAlignment="1"/>
    <xf numFmtId="168" fontId="13" fillId="15" borderId="56" xfId="2" applyNumberFormat="1" applyFont="1" applyFill="1" applyBorder="1" applyAlignment="1"/>
    <xf numFmtId="169" fontId="13" fillId="15" borderId="79" xfId="0" applyNumberFormat="1" applyFont="1" applyFill="1" applyBorder="1"/>
    <xf numFmtId="168" fontId="13" fillId="15" borderId="3" xfId="2" applyNumberFormat="1" applyFont="1" applyFill="1" applyBorder="1" applyAlignment="1"/>
    <xf numFmtId="166" fontId="15" fillId="2" borderId="51" xfId="0" applyNumberFormat="1" applyFont="1" applyFill="1" applyBorder="1" applyAlignment="1">
      <alignment horizontal="center"/>
    </xf>
    <xf numFmtId="166" fontId="15" fillId="0" borderId="24" xfId="0" applyNumberFormat="1" applyFont="1" applyBorder="1"/>
    <xf numFmtId="166" fontId="13" fillId="2" borderId="17" xfId="2" applyNumberFormat="1" applyFont="1" applyFill="1" applyBorder="1" applyAlignment="1"/>
    <xf numFmtId="168" fontId="13" fillId="0" borderId="93" xfId="2" applyNumberFormat="1" applyFont="1" applyFill="1" applyBorder="1" applyAlignment="1"/>
    <xf numFmtId="43" fontId="15" fillId="0" borderId="51" xfId="0" applyNumberFormat="1" applyFont="1" applyBorder="1"/>
    <xf numFmtId="167" fontId="7" fillId="0" borderId="11" xfId="2" applyNumberFormat="1" applyFont="1" applyFill="1" applyBorder="1" applyAlignment="1"/>
    <xf numFmtId="168" fontId="13" fillId="15" borderId="22" xfId="2" applyNumberFormat="1" applyFont="1" applyFill="1" applyBorder="1"/>
    <xf numFmtId="167" fontId="14" fillId="5" borderId="7" xfId="0" applyNumberFormat="1" applyFont="1" applyFill="1" applyBorder="1" applyAlignment="1">
      <alignment horizontal="center"/>
    </xf>
    <xf numFmtId="166" fontId="14" fillId="5" borderId="22" xfId="0" applyNumberFormat="1" applyFont="1" applyFill="1" applyBorder="1" applyAlignment="1">
      <alignment horizontal="center"/>
    </xf>
    <xf numFmtId="43" fontId="14" fillId="5" borderId="7" xfId="0" applyNumberFormat="1" applyFont="1" applyFill="1" applyBorder="1" applyAlignment="1">
      <alignment horizontal="center"/>
    </xf>
    <xf numFmtId="43" fontId="14" fillId="5" borderId="22" xfId="0" applyNumberFormat="1" applyFont="1" applyFill="1" applyBorder="1" applyAlignment="1">
      <alignment horizontal="center"/>
    </xf>
    <xf numFmtId="165" fontId="14" fillId="5" borderId="7" xfId="2" applyFont="1" applyFill="1" applyBorder="1" applyAlignment="1">
      <alignment horizontal="center"/>
    </xf>
    <xf numFmtId="43" fontId="14" fillId="5" borderId="97" xfId="0" applyNumberFormat="1" applyFont="1" applyFill="1" applyBorder="1" applyAlignment="1">
      <alignment horizontal="center"/>
    </xf>
    <xf numFmtId="168" fontId="14" fillId="5" borderId="22" xfId="2" applyNumberFormat="1" applyFont="1" applyFill="1" applyBorder="1" applyAlignment="1">
      <alignment horizontal="center"/>
    </xf>
    <xf numFmtId="167" fontId="15" fillId="2" borderId="5" xfId="0" applyNumberFormat="1" applyFont="1" applyFill="1" applyBorder="1"/>
    <xf numFmtId="165" fontId="13" fillId="15" borderId="91" xfId="2" applyFont="1" applyFill="1" applyBorder="1"/>
    <xf numFmtId="168" fontId="13" fillId="15" borderId="94" xfId="2" applyNumberFormat="1" applyFont="1" applyFill="1" applyBorder="1"/>
    <xf numFmtId="168" fontId="13" fillId="15" borderId="38" xfId="1" applyNumberFormat="1" applyFont="1" applyFill="1" applyBorder="1"/>
    <xf numFmtId="166" fontId="15" fillId="0" borderId="4" xfId="0" applyNumberFormat="1" applyFont="1" applyBorder="1"/>
    <xf numFmtId="166" fontId="15" fillId="2" borderId="16" xfId="0" applyNumberFormat="1" applyFont="1" applyFill="1" applyBorder="1"/>
    <xf numFmtId="167" fontId="6" fillId="2" borderId="9" xfId="2" applyNumberFormat="1" applyFont="1" applyFill="1" applyBorder="1" applyAlignment="1"/>
    <xf numFmtId="166" fontId="13" fillId="15" borderId="3" xfId="2" applyNumberFormat="1" applyFont="1" applyFill="1" applyBorder="1" applyAlignment="1"/>
    <xf numFmtId="168" fontId="15" fillId="0" borderId="38" xfId="2" applyNumberFormat="1" applyFont="1" applyFill="1" applyBorder="1" applyAlignment="1"/>
    <xf numFmtId="0" fontId="49" fillId="0" borderId="1" xfId="0" applyFont="1" applyBorder="1" applyAlignment="1">
      <alignment vertical="center" wrapText="1"/>
    </xf>
    <xf numFmtId="167" fontId="6" fillId="2" borderId="82" xfId="0" applyNumberFormat="1" applyFont="1" applyFill="1" applyBorder="1"/>
    <xf numFmtId="167" fontId="6" fillId="2" borderId="9" xfId="0" applyNumberFormat="1" applyFont="1" applyFill="1" applyBorder="1" applyAlignment="1">
      <alignment wrapText="1"/>
    </xf>
    <xf numFmtId="166" fontId="15" fillId="2" borderId="78" xfId="2" applyNumberFormat="1" applyFont="1" applyFill="1" applyBorder="1" applyAlignment="1"/>
    <xf numFmtId="165" fontId="13" fillId="2" borderId="87" xfId="2" applyFont="1" applyFill="1" applyBorder="1" applyAlignment="1"/>
    <xf numFmtId="0" fontId="34" fillId="0" borderId="0" xfId="0" applyFont="1" applyAlignment="1">
      <alignment horizontal="left" vertical="center"/>
    </xf>
    <xf numFmtId="0" fontId="39" fillId="6" borderId="1" xfId="0" applyFont="1" applyFill="1" applyBorder="1" applyAlignment="1">
      <alignment horizontal="center" vertical="center" wrapText="1"/>
    </xf>
    <xf numFmtId="168" fontId="39" fillId="6" borderId="1" xfId="0" applyNumberFormat="1" applyFont="1" applyFill="1" applyBorder="1" applyAlignment="1">
      <alignment horizontal="center" vertical="center" wrapText="1"/>
    </xf>
    <xf numFmtId="0" fontId="39" fillId="6" borderId="25" xfId="0" applyFont="1" applyFill="1" applyBorder="1" applyAlignment="1">
      <alignment horizontal="left" vertical="center" wrapText="1"/>
    </xf>
    <xf numFmtId="43" fontId="39" fillId="6" borderId="25" xfId="0" applyNumberFormat="1" applyFont="1" applyFill="1" applyBorder="1" applyAlignment="1">
      <alignment horizontal="right" vertical="center" wrapText="1"/>
    </xf>
    <xf numFmtId="0" fontId="51" fillId="6" borderId="25" xfId="0" applyFont="1" applyFill="1" applyBorder="1" applyAlignment="1">
      <alignment horizontal="center" vertical="center" wrapText="1"/>
    </xf>
    <xf numFmtId="4" fontId="39" fillId="6" borderId="25" xfId="2" applyNumberFormat="1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/>
    </xf>
    <xf numFmtId="172" fontId="45" fillId="0" borderId="1" xfId="0" applyNumberFormat="1" applyFont="1" applyBorder="1" applyAlignment="1">
      <alignment horizontal="left" vertical="top" wrapText="1"/>
    </xf>
    <xf numFmtId="43" fontId="5" fillId="0" borderId="1" xfId="0" applyNumberFormat="1" applyFont="1" applyBorder="1"/>
    <xf numFmtId="0" fontId="47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65" fontId="19" fillId="0" borderId="1" xfId="2" applyFont="1" applyFill="1" applyBorder="1" applyAlignment="1">
      <alignment vertical="center"/>
    </xf>
    <xf numFmtId="0" fontId="55" fillId="0" borderId="1" xfId="0" applyFont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165" fontId="19" fillId="0" borderId="0" xfId="2" applyFont="1" applyBorder="1" applyAlignment="1">
      <alignment vertical="center"/>
    </xf>
    <xf numFmtId="0" fontId="49" fillId="8" borderId="1" xfId="0" applyFont="1" applyFill="1" applyBorder="1" applyAlignment="1">
      <alignment vertical="center" wrapText="1"/>
    </xf>
    <xf numFmtId="172" fontId="19" fillId="0" borderId="1" xfId="0" applyNumberFormat="1" applyFont="1" applyBorder="1" applyAlignment="1">
      <alignment horizontal="left" vertical="top" wrapText="1"/>
    </xf>
    <xf numFmtId="43" fontId="49" fillId="0" borderId="1" xfId="0" applyNumberFormat="1" applyFont="1" applyBorder="1" applyAlignment="1">
      <alignment horizontal="right" vertical="center" wrapText="1"/>
    </xf>
    <xf numFmtId="172" fontId="47" fillId="0" borderId="1" xfId="0" applyNumberFormat="1" applyFont="1" applyBorder="1" applyAlignment="1">
      <alignment horizontal="left" vertical="top" wrapText="1"/>
    </xf>
    <xf numFmtId="4" fontId="19" fillId="0" borderId="0" xfId="2" applyNumberFormat="1" applyFont="1" applyAlignment="1">
      <alignment vertical="center"/>
    </xf>
    <xf numFmtId="43" fontId="19" fillId="0" borderId="0" xfId="0" applyNumberFormat="1" applyFont="1" applyAlignment="1">
      <alignment horizontal="right" vertical="center"/>
    </xf>
    <xf numFmtId="168" fontId="48" fillId="8" borderId="27" xfId="0" applyNumberFormat="1" applyFont="1" applyFill="1" applyBorder="1" applyAlignment="1">
      <alignment horizontal="center" vertical="center" wrapText="1"/>
    </xf>
    <xf numFmtId="4" fontId="45" fillId="7" borderId="0" xfId="2" applyNumberFormat="1" applyFont="1" applyFill="1" applyAlignment="1">
      <alignment vertical="center"/>
    </xf>
    <xf numFmtId="0" fontId="51" fillId="6" borderId="1" xfId="0" applyFont="1" applyFill="1" applyBorder="1" applyAlignment="1">
      <alignment horizontal="left" vertical="center" wrapText="1"/>
    </xf>
    <xf numFmtId="172" fontId="42" fillId="0" borderId="0" xfId="0" applyNumberFormat="1" applyFont="1" applyAlignment="1">
      <alignment horizontal="left" vertical="top" wrapText="1"/>
    </xf>
    <xf numFmtId="43" fontId="34" fillId="0" borderId="26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9" fillId="0" borderId="0" xfId="0" applyFont="1"/>
    <xf numFmtId="4" fontId="34" fillId="7" borderId="0" xfId="2" applyNumberFormat="1" applyFont="1" applyFill="1" applyAlignment="1">
      <alignment vertical="center"/>
    </xf>
    <xf numFmtId="43" fontId="19" fillId="2" borderId="1" xfId="0" applyNumberFormat="1" applyFont="1" applyFill="1" applyBorder="1" applyAlignment="1">
      <alignment horizontal="left" vertical="center" wrapText="1"/>
    </xf>
    <xf numFmtId="43" fontId="51" fillId="6" borderId="1" xfId="0" applyNumberFormat="1" applyFont="1" applyFill="1" applyBorder="1" applyAlignment="1">
      <alignment horizontal="right" vertical="center" wrapText="1"/>
    </xf>
    <xf numFmtId="4" fontId="51" fillId="6" borderId="1" xfId="2" applyNumberFormat="1" applyFont="1" applyFill="1" applyBorder="1" applyAlignment="1">
      <alignment horizontal="center" vertical="center" wrapText="1"/>
    </xf>
    <xf numFmtId="43" fontId="19" fillId="2" borderId="1" xfId="0" applyNumberFormat="1" applyFont="1" applyFill="1" applyBorder="1"/>
    <xf numFmtId="167" fontId="45" fillId="7" borderId="0" xfId="0" applyNumberFormat="1" applyFont="1" applyFill="1" applyAlignment="1">
      <alignment horizontal="right" vertical="center"/>
    </xf>
    <xf numFmtId="43" fontId="45" fillId="7" borderId="0" xfId="0" applyNumberFormat="1" applyFont="1" applyFill="1"/>
    <xf numFmtId="0" fontId="19" fillId="7" borderId="0" xfId="0" applyFont="1" applyFill="1"/>
    <xf numFmtId="14" fontId="5" fillId="0" borderId="0" xfId="0" applyNumberFormat="1" applyFont="1" applyAlignment="1">
      <alignment horizontal="left"/>
    </xf>
    <xf numFmtId="0" fontId="45" fillId="12" borderId="0" xfId="0" applyFont="1" applyFill="1" applyAlignment="1">
      <alignment horizontal="right"/>
    </xf>
    <xf numFmtId="0" fontId="19" fillId="12" borderId="0" xfId="0" applyFont="1" applyFill="1"/>
    <xf numFmtId="43" fontId="34" fillId="12" borderId="26" xfId="2" applyNumberFormat="1" applyFont="1" applyFill="1" applyBorder="1" applyAlignment="1">
      <alignment horizontal="right" vertical="center"/>
    </xf>
    <xf numFmtId="172" fontId="19" fillId="8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vertical="center"/>
    </xf>
    <xf numFmtId="43" fontId="39" fillId="6" borderId="40" xfId="0" applyNumberFormat="1" applyFont="1" applyFill="1" applyBorder="1" applyAlignment="1">
      <alignment horizontal="right" vertical="center" wrapText="1"/>
    </xf>
    <xf numFmtId="49" fontId="5" fillId="0" borderId="1" xfId="0" applyNumberFormat="1" applyFont="1" applyBorder="1" applyAlignment="1">
      <alignment vertical="top"/>
    </xf>
    <xf numFmtId="43" fontId="19" fillId="0" borderId="0" xfId="0" applyNumberFormat="1" applyFont="1"/>
    <xf numFmtId="49" fontId="5" fillId="2" borderId="1" xfId="0" applyNumberFormat="1" applyFont="1" applyFill="1" applyBorder="1" applyAlignment="1">
      <alignment vertical="top"/>
    </xf>
    <xf numFmtId="0" fontId="34" fillId="0" borderId="29" xfId="0" applyFont="1" applyBorder="1" applyAlignment="1">
      <alignment horizontal="left" vertical="center"/>
    </xf>
    <xf numFmtId="0" fontId="39" fillId="6" borderId="25" xfId="0" applyFont="1" applyFill="1" applyBorder="1" applyAlignment="1">
      <alignment horizontal="center" vertical="center" wrapText="1"/>
    </xf>
    <xf numFmtId="44" fontId="19" fillId="0" borderId="1" xfId="13" applyNumberFormat="1" applyFont="1" applyBorder="1" applyAlignment="1">
      <alignment horizontal="right"/>
    </xf>
    <xf numFmtId="167" fontId="45" fillId="0" borderId="0" xfId="0" applyNumberFormat="1" applyFont="1" applyAlignment="1">
      <alignment horizontal="left"/>
    </xf>
    <xf numFmtId="43" fontId="34" fillId="0" borderId="0" xfId="0" applyNumberFormat="1" applyFont="1" applyAlignment="1">
      <alignment horizontal="right" vertical="center"/>
    </xf>
    <xf numFmtId="0" fontId="51" fillId="6" borderId="1" xfId="0" applyFont="1" applyFill="1" applyBorder="1" applyAlignment="1">
      <alignment horizontal="right" vertical="center" wrapText="1"/>
    </xf>
    <xf numFmtId="167" fontId="45" fillId="0" borderId="0" xfId="0" applyNumberFormat="1" applyFont="1" applyAlignment="1">
      <alignment horizontal="right" vertical="center"/>
    </xf>
    <xf numFmtId="0" fontId="43" fillId="2" borderId="1" xfId="0" applyFont="1" applyFill="1" applyBorder="1"/>
    <xf numFmtId="0" fontId="34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14" fontId="49" fillId="8" borderId="1" xfId="0" applyNumberFormat="1" applyFont="1" applyFill="1" applyBorder="1" applyAlignment="1">
      <alignment horizontal="left" vertical="center" wrapText="1"/>
    </xf>
    <xf numFmtId="165" fontId="19" fillId="0" borderId="0" xfId="2" applyFont="1" applyAlignment="1">
      <alignment vertical="center"/>
    </xf>
    <xf numFmtId="0" fontId="39" fillId="6" borderId="3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8" fontId="15" fillId="0" borderId="29" xfId="2" applyNumberFormat="1" applyFont="1" applyFill="1" applyBorder="1" applyAlignment="1"/>
    <xf numFmtId="170" fontId="13" fillId="0" borderId="93" xfId="2" applyNumberFormat="1" applyFont="1" applyFill="1" applyBorder="1" applyAlignment="1"/>
    <xf numFmtId="43" fontId="57" fillId="2" borderId="17" xfId="0" applyNumberFormat="1" applyFont="1" applyFill="1" applyBorder="1"/>
    <xf numFmtId="167" fontId="15" fillId="0" borderId="103" xfId="2" applyNumberFormat="1" applyFont="1" applyFill="1" applyBorder="1" applyAlignment="1"/>
    <xf numFmtId="169" fontId="15" fillId="2" borderId="103" xfId="2" applyNumberFormat="1" applyFont="1" applyFill="1" applyBorder="1" applyAlignment="1"/>
    <xf numFmtId="169" fontId="13" fillId="15" borderId="91" xfId="2" applyNumberFormat="1" applyFont="1" applyFill="1" applyBorder="1" applyAlignment="1"/>
    <xf numFmtId="165" fontId="13" fillId="15" borderId="79" xfId="2" applyFont="1" applyFill="1" applyBorder="1" applyAlignment="1"/>
    <xf numFmtId="0" fontId="6" fillId="0" borderId="107" xfId="0" applyFont="1" applyBorder="1"/>
    <xf numFmtId="0" fontId="6" fillId="0" borderId="108" xfId="0" applyFont="1" applyBorder="1"/>
    <xf numFmtId="0" fontId="6" fillId="0" borderId="109" xfId="0" applyFont="1" applyBorder="1"/>
    <xf numFmtId="0" fontId="14" fillId="0" borderId="110" xfId="0" applyFont="1" applyBorder="1" applyAlignment="1">
      <alignment horizontal="right"/>
    </xf>
    <xf numFmtId="169" fontId="13" fillId="15" borderId="49" xfId="2" applyNumberFormat="1" applyFont="1" applyFill="1" applyBorder="1" applyAlignment="1"/>
    <xf numFmtId="0" fontId="32" fillId="13" borderId="20" xfId="0" applyFont="1" applyFill="1" applyBorder="1" applyAlignment="1">
      <alignment horizontal="left"/>
    </xf>
    <xf numFmtId="169" fontId="15" fillId="2" borderId="101" xfId="2" applyNumberFormat="1" applyFont="1" applyFill="1" applyBorder="1" applyAlignment="1"/>
    <xf numFmtId="169" fontId="13" fillId="15" borderId="34" xfId="0" applyNumberFormat="1" applyFont="1" applyFill="1" applyBorder="1"/>
    <xf numFmtId="0" fontId="13" fillId="15" borderId="42" xfId="0" applyFont="1" applyFill="1" applyBorder="1" applyAlignment="1">
      <alignment horizontal="right"/>
    </xf>
    <xf numFmtId="0" fontId="32" fillId="13" borderId="107" xfId="0" applyFont="1" applyFill="1" applyBorder="1" applyAlignment="1">
      <alignment horizontal="left"/>
    </xf>
    <xf numFmtId="169" fontId="14" fillId="5" borderId="22" xfId="0" applyNumberFormat="1" applyFont="1" applyFill="1" applyBorder="1" applyAlignment="1">
      <alignment horizontal="center"/>
    </xf>
    <xf numFmtId="0" fontId="15" fillId="0" borderId="106" xfId="0" applyFont="1" applyBorder="1"/>
    <xf numFmtId="0" fontId="15" fillId="0" borderId="108" xfId="0" applyFont="1" applyBorder="1"/>
    <xf numFmtId="0" fontId="6" fillId="0" borderId="108" xfId="0" applyFont="1" applyBorder="1" applyAlignment="1">
      <alignment horizontal="left"/>
    </xf>
    <xf numFmtId="0" fontId="32" fillId="5" borderId="112" xfId="0" applyFont="1" applyFill="1" applyBorder="1"/>
    <xf numFmtId="166" fontId="15" fillId="2" borderId="115" xfId="0" applyNumberFormat="1" applyFont="1" applyFill="1" applyBorder="1"/>
    <xf numFmtId="166" fontId="15" fillId="2" borderId="117" xfId="0" applyNumberFormat="1" applyFont="1" applyFill="1" applyBorder="1"/>
    <xf numFmtId="43" fontId="15" fillId="2" borderId="105" xfId="0" applyNumberFormat="1" applyFont="1" applyFill="1" applyBorder="1"/>
    <xf numFmtId="43" fontId="15" fillId="2" borderId="115" xfId="0" applyNumberFormat="1" applyFont="1" applyFill="1" applyBorder="1"/>
    <xf numFmtId="169" fontId="15" fillId="0" borderId="81" xfId="2" applyNumberFormat="1" applyFont="1" applyFill="1" applyBorder="1" applyAlignment="1"/>
    <xf numFmtId="43" fontId="15" fillId="2" borderId="113" xfId="0" applyNumberFormat="1" applyFont="1" applyFill="1" applyBorder="1"/>
    <xf numFmtId="165" fontId="13" fillId="0" borderId="81" xfId="2" applyFont="1" applyFill="1" applyBorder="1" applyAlignment="1"/>
    <xf numFmtId="168" fontId="13" fillId="0" borderId="39" xfId="2" applyNumberFormat="1" applyFont="1" applyFill="1" applyBorder="1" applyAlignment="1"/>
    <xf numFmtId="169" fontId="15" fillId="0" borderId="53" xfId="2" applyNumberFormat="1" applyFont="1" applyFill="1" applyBorder="1" applyAlignment="1"/>
    <xf numFmtId="168" fontId="13" fillId="0" borderId="118" xfId="2" applyNumberFormat="1" applyFont="1" applyFill="1" applyBorder="1" applyAlignment="1"/>
    <xf numFmtId="165" fontId="15" fillId="0" borderId="9" xfId="2" applyFont="1" applyFill="1" applyBorder="1" applyAlignment="1">
      <alignment wrapText="1"/>
    </xf>
    <xf numFmtId="167" fontId="15" fillId="2" borderId="114" xfId="2" applyNumberFormat="1" applyFont="1" applyFill="1" applyBorder="1" applyAlignment="1"/>
    <xf numFmtId="167" fontId="15" fillId="2" borderId="114" xfId="0" applyNumberFormat="1" applyFont="1" applyFill="1" applyBorder="1"/>
    <xf numFmtId="167" fontId="37" fillId="2" borderId="114" xfId="2" applyNumberFormat="1" applyFont="1" applyFill="1" applyBorder="1" applyAlignment="1"/>
    <xf numFmtId="43" fontId="6" fillId="2" borderId="114" xfId="0" applyNumberFormat="1" applyFont="1" applyFill="1" applyBorder="1"/>
    <xf numFmtId="166" fontId="18" fillId="2" borderId="115" xfId="0" applyNumberFormat="1" applyFont="1" applyFill="1" applyBorder="1"/>
    <xf numFmtId="167" fontId="15" fillId="2" borderId="116" xfId="0" applyNumberFormat="1" applyFont="1" applyFill="1" applyBorder="1"/>
    <xf numFmtId="44" fontId="5" fillId="0" borderId="0" xfId="0" applyNumberFormat="1" applyFont="1"/>
    <xf numFmtId="0" fontId="49" fillId="0" borderId="1" xfId="0" applyFont="1" applyBorder="1"/>
    <xf numFmtId="165" fontId="15" fillId="0" borderId="30" xfId="2" applyFont="1" applyFill="1" applyBorder="1"/>
    <xf numFmtId="171" fontId="58" fillId="0" borderId="98" xfId="0" applyNumberFormat="1" applyFont="1" applyBorder="1"/>
    <xf numFmtId="168" fontId="58" fillId="0" borderId="98" xfId="0" applyNumberFormat="1" applyFont="1" applyBorder="1"/>
    <xf numFmtId="171" fontId="58" fillId="0" borderId="119" xfId="0" applyNumberFormat="1" applyFont="1" applyBorder="1"/>
    <xf numFmtId="168" fontId="58" fillId="0" borderId="119" xfId="0" applyNumberFormat="1" applyFont="1" applyBorder="1"/>
    <xf numFmtId="171" fontId="58" fillId="0" borderId="99" xfId="0" applyNumberFormat="1" applyFont="1" applyBorder="1"/>
    <xf numFmtId="168" fontId="58" fillId="0" borderId="99" xfId="0" applyNumberFormat="1" applyFont="1" applyBorder="1"/>
    <xf numFmtId="166" fontId="15" fillId="0" borderId="115" xfId="0" applyNumberFormat="1" applyFont="1" applyBorder="1" applyAlignment="1">
      <alignment horizontal="center"/>
    </xf>
    <xf numFmtId="167" fontId="15" fillId="0" borderId="114" xfId="2" applyNumberFormat="1" applyFont="1" applyFill="1" applyBorder="1" applyAlignment="1"/>
    <xf numFmtId="169" fontId="15" fillId="2" borderId="36" xfId="2" applyNumberFormat="1" applyFont="1" applyFill="1" applyBorder="1" applyAlignment="1"/>
    <xf numFmtId="0" fontId="32" fillId="4" borderId="112" xfId="0" applyFont="1" applyFill="1" applyBorder="1" applyAlignment="1">
      <alignment horizontal="left"/>
    </xf>
    <xf numFmtId="0" fontId="15" fillId="0" borderId="120" xfId="0" applyFont="1" applyBorder="1" applyAlignment="1">
      <alignment horizontal="left" wrapText="1"/>
    </xf>
    <xf numFmtId="0" fontId="15" fillId="0" borderId="95" xfId="0" applyFont="1" applyBorder="1" applyAlignment="1">
      <alignment horizontal="left" wrapText="1"/>
    </xf>
    <xf numFmtId="169" fontId="15" fillId="2" borderId="33" xfId="2" applyNumberFormat="1" applyFont="1" applyFill="1" applyBorder="1" applyAlignment="1"/>
    <xf numFmtId="169" fontId="15" fillId="2" borderId="122" xfId="2" applyNumberFormat="1" applyFont="1" applyFill="1" applyBorder="1" applyAlignment="1"/>
    <xf numFmtId="169" fontId="13" fillId="0" borderId="124" xfId="2" applyNumberFormat="1" applyFont="1" applyFill="1" applyBorder="1" applyAlignment="1"/>
    <xf numFmtId="165" fontId="1" fillId="3" borderId="1" xfId="2" applyFill="1" applyBorder="1"/>
    <xf numFmtId="168" fontId="18" fillId="0" borderId="16" xfId="2" applyNumberFormat="1" applyFont="1" applyFill="1" applyBorder="1" applyAlignment="1"/>
    <xf numFmtId="43" fontId="18" fillId="2" borderId="66" xfId="0" applyNumberFormat="1" applyFont="1" applyFill="1" applyBorder="1"/>
    <xf numFmtId="43" fontId="18" fillId="2" borderId="16" xfId="0" applyNumberFormat="1" applyFont="1" applyFill="1" applyBorder="1"/>
    <xf numFmtId="166" fontId="18" fillId="2" borderId="16" xfId="0" applyNumberFormat="1" applyFont="1" applyFill="1" applyBorder="1"/>
    <xf numFmtId="167" fontId="6" fillId="2" borderId="82" xfId="0" applyNumberFormat="1" applyFont="1" applyFill="1" applyBorder="1" applyAlignment="1">
      <alignment wrapText="1"/>
    </xf>
    <xf numFmtId="166" fontId="18" fillId="2" borderId="78" xfId="0" applyNumberFormat="1" applyFont="1" applyFill="1" applyBorder="1"/>
    <xf numFmtId="166" fontId="18" fillId="2" borderId="126" xfId="0" applyNumberFormat="1" applyFont="1" applyFill="1" applyBorder="1"/>
    <xf numFmtId="166" fontId="18" fillId="2" borderId="66" xfId="0" applyNumberFormat="1" applyFont="1" applyFill="1" applyBorder="1"/>
    <xf numFmtId="167" fontId="15" fillId="2" borderId="125" xfId="0" applyNumberFormat="1" applyFont="1" applyFill="1" applyBorder="1" applyAlignment="1">
      <alignment wrapText="1"/>
    </xf>
    <xf numFmtId="165" fontId="13" fillId="0" borderId="1" xfId="2" applyFont="1" applyFill="1" applyBorder="1" applyAlignment="1"/>
    <xf numFmtId="167" fontId="15" fillId="0" borderId="9" xfId="0" applyNumberFormat="1" applyFont="1" applyBorder="1" applyAlignment="1">
      <alignment wrapText="1"/>
    </xf>
    <xf numFmtId="167" fontId="15" fillId="0" borderId="114" xfId="0" applyNumberFormat="1" applyFont="1" applyBorder="1" applyAlignment="1">
      <alignment wrapText="1"/>
    </xf>
    <xf numFmtId="166" fontId="15" fillId="2" borderId="127" xfId="2" applyNumberFormat="1" applyFont="1" applyFill="1" applyBorder="1" applyAlignment="1"/>
    <xf numFmtId="166" fontId="15" fillId="2" borderId="100" xfId="2" applyNumberFormat="1" applyFont="1" applyFill="1" applyBorder="1" applyAlignment="1"/>
    <xf numFmtId="167" fontId="13" fillId="0" borderId="30" xfId="2" applyNumberFormat="1" applyFont="1" applyFill="1" applyBorder="1" applyAlignment="1"/>
    <xf numFmtId="167" fontId="13" fillId="0" borderId="23" xfId="2" applyNumberFormat="1" applyFont="1" applyFill="1" applyBorder="1" applyAlignment="1"/>
    <xf numFmtId="166" fontId="13" fillId="0" borderId="24" xfId="2" applyNumberFormat="1" applyFont="1" applyFill="1" applyBorder="1" applyAlignment="1"/>
    <xf numFmtId="169" fontId="15" fillId="2" borderId="128" xfId="2" applyNumberFormat="1" applyFont="1" applyFill="1" applyBorder="1" applyAlignment="1"/>
    <xf numFmtId="166" fontId="15" fillId="2" borderId="129" xfId="2" applyNumberFormat="1" applyFont="1" applyFill="1" applyBorder="1" applyAlignment="1"/>
    <xf numFmtId="169" fontId="15" fillId="2" borderId="130" xfId="2" applyNumberFormat="1" applyFont="1" applyFill="1" applyBorder="1" applyAlignment="1"/>
    <xf numFmtId="166" fontId="15" fillId="2" borderId="131" xfId="2" applyNumberFormat="1" applyFont="1" applyFill="1" applyBorder="1" applyAlignment="1"/>
    <xf numFmtId="169" fontId="15" fillId="2" borderId="11" xfId="2" applyNumberFormat="1" applyFont="1" applyFill="1" applyBorder="1" applyAlignment="1"/>
    <xf numFmtId="166" fontId="13" fillId="0" borderId="10" xfId="2" applyNumberFormat="1" applyFont="1" applyFill="1" applyBorder="1" applyAlignment="1"/>
    <xf numFmtId="166" fontId="5" fillId="0" borderId="1" xfId="0" applyNumberFormat="1" applyFont="1" applyBorder="1" applyAlignment="1">
      <alignment horizontal="center"/>
    </xf>
    <xf numFmtId="167" fontId="13" fillId="0" borderId="33" xfId="2" applyNumberFormat="1" applyFont="1" applyFill="1" applyBorder="1" applyAlignment="1"/>
    <xf numFmtId="167" fontId="15" fillId="2" borderId="36" xfId="0" applyNumberFormat="1" applyFont="1" applyFill="1" applyBorder="1" applyAlignment="1">
      <alignment wrapText="1"/>
    </xf>
    <xf numFmtId="43" fontId="15" fillId="2" borderId="126" xfId="0" applyNumberFormat="1" applyFont="1" applyFill="1" applyBorder="1"/>
    <xf numFmtId="166" fontId="15" fillId="2" borderId="134" xfId="2" applyNumberFormat="1" applyFont="1" applyFill="1" applyBorder="1" applyAlignment="1"/>
    <xf numFmtId="166" fontId="15" fillId="2" borderId="16" xfId="2" applyNumberFormat="1" applyFont="1" applyFill="1" applyBorder="1" applyAlignment="1"/>
    <xf numFmtId="169" fontId="15" fillId="2" borderId="1" xfId="2" applyNumberFormat="1" applyFont="1" applyFill="1" applyBorder="1" applyAlignment="1"/>
    <xf numFmtId="166" fontId="5" fillId="2" borderId="8" xfId="0" applyNumberFormat="1" applyFont="1" applyFill="1" applyBorder="1"/>
    <xf numFmtId="167" fontId="15" fillId="2" borderId="52" xfId="0" applyNumberFormat="1" applyFont="1" applyFill="1" applyBorder="1" applyAlignment="1">
      <alignment horizontal="center"/>
    </xf>
    <xf numFmtId="166" fontId="13" fillId="15" borderId="58" xfId="1" applyNumberFormat="1" applyFont="1" applyFill="1" applyBorder="1" applyAlignment="1"/>
    <xf numFmtId="168" fontId="15" fillId="0" borderId="17" xfId="2" applyNumberFormat="1" applyFont="1" applyFill="1" applyBorder="1" applyAlignment="1"/>
    <xf numFmtId="166" fontId="15" fillId="2" borderId="4" xfId="2" applyNumberFormat="1" applyFont="1" applyFill="1" applyBorder="1" applyAlignment="1"/>
    <xf numFmtId="0" fontId="58" fillId="0" borderId="0" xfId="0" applyFont="1"/>
    <xf numFmtId="168" fontId="15" fillId="0" borderId="113" xfId="2" applyNumberFormat="1" applyFont="1" applyFill="1" applyBorder="1" applyAlignment="1"/>
    <xf numFmtId="172" fontId="50" fillId="0" borderId="1" xfId="0" applyNumberFormat="1" applyFont="1" applyBorder="1" applyAlignment="1">
      <alignment horizontal="left" vertical="top" wrapText="1"/>
    </xf>
    <xf numFmtId="165" fontId="19" fillId="7" borderId="0" xfId="2" applyFont="1" applyFill="1"/>
    <xf numFmtId="43" fontId="19" fillId="7" borderId="0" xfId="0" applyNumberFormat="1" applyFont="1" applyFill="1"/>
    <xf numFmtId="170" fontId="5" fillId="0" borderId="1" xfId="2" applyNumberFormat="1" applyFont="1" applyBorder="1"/>
    <xf numFmtId="170" fontId="19" fillId="0" borderId="1" xfId="2" applyNumberFormat="1" applyFont="1" applyBorder="1"/>
    <xf numFmtId="165" fontId="45" fillId="0" borderId="26" xfId="2" applyFont="1" applyBorder="1" applyAlignment="1">
      <alignment horizontal="right" vertical="center"/>
    </xf>
    <xf numFmtId="165" fontId="34" fillId="0" borderId="26" xfId="2" applyFont="1" applyBorder="1" applyAlignment="1">
      <alignment horizontal="right" vertical="center"/>
    </xf>
    <xf numFmtId="170" fontId="19" fillId="2" borderId="1" xfId="2" applyNumberFormat="1" applyFont="1" applyFill="1" applyBorder="1" applyAlignment="1">
      <alignment horizontal="center" vertical="center" wrapText="1"/>
    </xf>
    <xf numFmtId="0" fontId="59" fillId="0" borderId="0" xfId="0" applyFont="1"/>
    <xf numFmtId="14" fontId="58" fillId="0" borderId="0" xfId="0" applyNumberFormat="1" applyFont="1"/>
    <xf numFmtId="2" fontId="5" fillId="0" borderId="0" xfId="0" applyNumberFormat="1" applyFont="1"/>
    <xf numFmtId="168" fontId="13" fillId="15" borderId="4" xfId="2" applyNumberFormat="1" applyFont="1" applyFill="1" applyBorder="1" applyAlignment="1"/>
    <xf numFmtId="168" fontId="13" fillId="15" borderId="4" xfId="2" applyNumberFormat="1" applyFont="1" applyFill="1" applyBorder="1"/>
    <xf numFmtId="172" fontId="60" fillId="0" borderId="1" xfId="0" applyNumberFormat="1" applyFont="1" applyBorder="1" applyAlignment="1">
      <alignment horizontal="left" vertical="top" wrapText="1"/>
    </xf>
    <xf numFmtId="0" fontId="50" fillId="2" borderId="1" xfId="0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horizontal="left" vertical="center" wrapText="1"/>
    </xf>
    <xf numFmtId="43" fontId="49" fillId="2" borderId="1" xfId="0" applyNumberFormat="1" applyFont="1" applyFill="1" applyBorder="1" applyAlignment="1">
      <alignment horizontal="right" vertical="center" wrapText="1"/>
    </xf>
    <xf numFmtId="0" fontId="53" fillId="2" borderId="1" xfId="0" applyFont="1" applyFill="1" applyBorder="1" applyAlignment="1">
      <alignment horizontal="left" vertical="center" wrapText="1"/>
    </xf>
    <xf numFmtId="169" fontId="15" fillId="2" borderId="82" xfId="2" applyNumberFormat="1" applyFont="1" applyFill="1" applyBorder="1" applyAlignment="1"/>
    <xf numFmtId="169" fontId="15" fillId="2" borderId="135" xfId="2" applyNumberFormat="1" applyFont="1" applyFill="1" applyBorder="1" applyAlignment="1"/>
    <xf numFmtId="169" fontId="15" fillId="2" borderId="136" xfId="2" applyNumberFormat="1" applyFont="1" applyFill="1" applyBorder="1" applyAlignment="1"/>
    <xf numFmtId="169" fontId="15" fillId="2" borderId="137" xfId="2" applyNumberFormat="1" applyFont="1" applyFill="1" applyBorder="1" applyAlignment="1"/>
    <xf numFmtId="169" fontId="15" fillId="2" borderId="138" xfId="2" applyNumberFormat="1" applyFont="1" applyFill="1" applyBorder="1" applyAlignment="1"/>
    <xf numFmtId="167" fontId="15" fillId="0" borderId="136" xfId="2" applyNumberFormat="1" applyFont="1" applyFill="1" applyBorder="1" applyAlignment="1"/>
    <xf numFmtId="170" fontId="45" fillId="2" borderId="25" xfId="2" applyNumberFormat="1" applyFont="1" applyFill="1" applyBorder="1" applyAlignment="1">
      <alignment horizontal="center" vertical="center" wrapText="1"/>
    </xf>
    <xf numFmtId="4" fontId="19" fillId="0" borderId="0" xfId="0" applyNumberFormat="1" applyFont="1"/>
    <xf numFmtId="168" fontId="58" fillId="0" borderId="17" xfId="0" applyNumberFormat="1" applyFont="1" applyBorder="1"/>
    <xf numFmtId="168" fontId="58" fillId="0" borderId="18" xfId="0" applyNumberFormat="1" applyFont="1" applyBorder="1"/>
    <xf numFmtId="165" fontId="8" fillId="0" borderId="1" xfId="2" applyFont="1" applyFill="1" applyBorder="1" applyAlignment="1">
      <alignment vertical="center"/>
    </xf>
    <xf numFmtId="165" fontId="55" fillId="0" borderId="1" xfId="2" applyFont="1" applyBorder="1" applyAlignment="1">
      <alignment vertical="center"/>
    </xf>
    <xf numFmtId="165" fontId="56" fillId="0" borderId="1" xfId="2" applyFont="1" applyBorder="1" applyAlignment="1">
      <alignment vertical="center" wrapText="1"/>
    </xf>
    <xf numFmtId="165" fontId="47" fillId="0" borderId="1" xfId="2" applyFont="1" applyBorder="1" applyAlignment="1">
      <alignment vertical="center" wrapText="1"/>
    </xf>
    <xf numFmtId="165" fontId="52" fillId="0" borderId="1" xfId="2" applyFont="1" applyBorder="1" applyAlignment="1">
      <alignment vertical="center" wrapText="1"/>
    </xf>
    <xf numFmtId="0" fontId="15" fillId="0" borderId="1" xfId="0" applyFont="1" applyBorder="1"/>
    <xf numFmtId="0" fontId="6" fillId="0" borderId="1" xfId="0" applyFont="1" applyBorder="1"/>
    <xf numFmtId="169" fontId="15" fillId="2" borderId="5" xfId="2" applyNumberFormat="1" applyFont="1" applyFill="1" applyBorder="1" applyAlignment="1"/>
    <xf numFmtId="43" fontId="15" fillId="2" borderId="100" xfId="0" applyNumberFormat="1" applyFont="1" applyFill="1" applyBorder="1"/>
    <xf numFmtId="168" fontId="45" fillId="4" borderId="28" xfId="0" applyNumberFormat="1" applyFont="1" applyFill="1" applyBorder="1" applyAlignment="1">
      <alignment horizontal="right" vertical="center"/>
    </xf>
    <xf numFmtId="0" fontId="6" fillId="0" borderId="139" xfId="0" applyFont="1" applyBorder="1" applyAlignment="1">
      <alignment horizontal="left"/>
    </xf>
    <xf numFmtId="168" fontId="15" fillId="0" borderId="141" xfId="2" applyNumberFormat="1" applyFont="1" applyFill="1" applyBorder="1" applyAlignment="1"/>
    <xf numFmtId="169" fontId="15" fillId="2" borderId="142" xfId="2" applyNumberFormat="1" applyFont="1" applyFill="1" applyBorder="1" applyAlignment="1"/>
    <xf numFmtId="168" fontId="15" fillId="2" borderId="143" xfId="2" applyNumberFormat="1" applyFont="1" applyFill="1" applyBorder="1" applyAlignment="1"/>
    <xf numFmtId="165" fontId="15" fillId="2" borderId="144" xfId="2" applyFont="1" applyFill="1" applyBorder="1" applyAlignment="1"/>
    <xf numFmtId="0" fontId="0" fillId="2" borderId="143" xfId="0" applyFill="1" applyBorder="1"/>
    <xf numFmtId="168" fontId="15" fillId="2" borderId="141" xfId="2" applyNumberFormat="1" applyFont="1" applyFill="1" applyBorder="1" applyAlignment="1"/>
    <xf numFmtId="165" fontId="15" fillId="2" borderId="140" xfId="2" applyFont="1" applyFill="1" applyBorder="1" applyAlignment="1"/>
    <xf numFmtId="168" fontId="15" fillId="2" borderId="145" xfId="2" applyNumberFormat="1" applyFont="1" applyFill="1" applyBorder="1" applyAlignment="1"/>
    <xf numFmtId="165" fontId="15" fillId="2" borderId="146" xfId="2" applyFont="1" applyFill="1" applyBorder="1" applyAlignment="1"/>
    <xf numFmtId="17" fontId="15" fillId="2" borderId="145" xfId="0" applyNumberFormat="1" applyFont="1" applyFill="1" applyBorder="1" applyAlignment="1">
      <alignment horizontal="center"/>
    </xf>
    <xf numFmtId="0" fontId="0" fillId="2" borderId="144" xfId="0" applyFill="1" applyBorder="1"/>
    <xf numFmtId="165" fontId="15" fillId="2" borderId="147" xfId="2" applyFont="1" applyFill="1" applyBorder="1" applyAlignment="1"/>
    <xf numFmtId="166" fontId="15" fillId="2" borderId="148" xfId="0" applyNumberFormat="1" applyFont="1" applyFill="1" applyBorder="1" applyAlignment="1">
      <alignment horizontal="center"/>
    </xf>
    <xf numFmtId="166" fontId="15" fillId="2" borderId="141" xfId="0" applyNumberFormat="1" applyFont="1" applyFill="1" applyBorder="1" applyAlignment="1">
      <alignment horizontal="center"/>
    </xf>
    <xf numFmtId="165" fontId="15" fillId="0" borderId="140" xfId="2" applyFont="1" applyFill="1" applyBorder="1"/>
    <xf numFmtId="166" fontId="6" fillId="2" borderId="145" xfId="0" applyNumberFormat="1" applyFont="1" applyFill="1" applyBorder="1" applyAlignment="1">
      <alignment horizontal="center"/>
    </xf>
    <xf numFmtId="0" fontId="0" fillId="2" borderId="149" xfId="0" applyFill="1" applyBorder="1"/>
    <xf numFmtId="170" fontId="19" fillId="7" borderId="0" xfId="0" applyNumberFormat="1" applyFont="1" applyFill="1"/>
    <xf numFmtId="169" fontId="6" fillId="2" borderId="52" xfId="0" applyNumberFormat="1" applyFont="1" applyFill="1" applyBorder="1"/>
    <xf numFmtId="169" fontId="15" fillId="0" borderId="23" xfId="0" applyNumberFormat="1" applyFont="1" applyBorder="1" applyAlignment="1">
      <alignment horizontal="center"/>
    </xf>
    <xf numFmtId="168" fontId="15" fillId="0" borderId="24" xfId="2" applyNumberFormat="1" applyFont="1" applyFill="1" applyBorder="1" applyAlignment="1">
      <alignment horizontal="center"/>
    </xf>
    <xf numFmtId="168" fontId="15" fillId="2" borderId="10" xfId="2" applyNumberFormat="1" applyFont="1" applyFill="1" applyBorder="1" applyAlignment="1"/>
    <xf numFmtId="168" fontId="57" fillId="2" borderId="17" xfId="2" applyNumberFormat="1" applyFont="1" applyFill="1" applyBorder="1" applyAlignment="1"/>
    <xf numFmtId="172" fontId="49" fillId="0" borderId="1" xfId="0" applyNumberFormat="1" applyFont="1" applyBorder="1" applyAlignment="1">
      <alignment horizontal="left" vertical="top" wrapText="1"/>
    </xf>
    <xf numFmtId="170" fontId="49" fillId="0" borderId="1" xfId="0" applyNumberFormat="1" applyFont="1" applyBorder="1"/>
    <xf numFmtId="172" fontId="53" fillId="0" borderId="1" xfId="0" applyNumberFormat="1" applyFont="1" applyBorder="1" applyAlignment="1">
      <alignment horizontal="left" vertical="top" wrapText="1"/>
    </xf>
    <xf numFmtId="168" fontId="13" fillId="15" borderId="150" xfId="2" applyNumberFormat="1" applyFont="1" applyFill="1" applyBorder="1" applyAlignment="1"/>
    <xf numFmtId="168" fontId="15" fillId="2" borderId="4" xfId="2" applyNumberFormat="1" applyFont="1" applyFill="1" applyBorder="1" applyAlignment="1"/>
    <xf numFmtId="168" fontId="13" fillId="15" borderId="41" xfId="2" applyNumberFormat="1" applyFont="1" applyFill="1" applyBorder="1" applyAlignment="1"/>
    <xf numFmtId="168" fontId="15" fillId="0" borderId="41" xfId="2" applyNumberFormat="1" applyFont="1" applyFill="1" applyBorder="1" applyAlignment="1"/>
    <xf numFmtId="168" fontId="15" fillId="2" borderId="6" xfId="2" applyNumberFormat="1" applyFont="1" applyFill="1" applyBorder="1" applyAlignment="1"/>
    <xf numFmtId="168" fontId="13" fillId="15" borderId="39" xfId="2" applyNumberFormat="1" applyFont="1" applyFill="1" applyBorder="1" applyAlignment="1"/>
    <xf numFmtId="165" fontId="6" fillId="2" borderId="75" xfId="0" applyNumberFormat="1" applyFont="1" applyFill="1" applyBorder="1"/>
    <xf numFmtId="43" fontId="15" fillId="2" borderId="39" xfId="0" applyNumberFormat="1" applyFont="1" applyFill="1" applyBorder="1" applyAlignment="1">
      <alignment vertical="center"/>
    </xf>
    <xf numFmtId="169" fontId="15" fillId="2" borderId="151" xfId="2" applyNumberFormat="1" applyFont="1" applyFill="1" applyBorder="1" applyAlignment="1"/>
    <xf numFmtId="169" fontId="15" fillId="2" borderId="0" xfId="2" applyNumberFormat="1" applyFont="1" applyFill="1" applyBorder="1" applyAlignment="1"/>
    <xf numFmtId="43" fontId="15" fillId="2" borderId="152" xfId="0" applyNumberFormat="1" applyFont="1" applyFill="1" applyBorder="1"/>
    <xf numFmtId="169" fontId="15" fillId="2" borderId="153" xfId="2" applyNumberFormat="1" applyFont="1" applyFill="1" applyBorder="1" applyAlignment="1"/>
    <xf numFmtId="166" fontId="15" fillId="2" borderId="154" xfId="2" applyNumberFormat="1" applyFont="1" applyFill="1" applyBorder="1" applyAlignment="1"/>
    <xf numFmtId="0" fontId="57" fillId="0" borderId="155" xfId="0" applyFont="1" applyBorder="1" applyAlignment="1">
      <alignment horizontal="left" wrapText="1"/>
    </xf>
    <xf numFmtId="167" fontId="6" fillId="2" borderId="82" xfId="2" applyNumberFormat="1" applyFont="1" applyFill="1" applyBorder="1" applyAlignment="1"/>
    <xf numFmtId="166" fontId="13" fillId="15" borderId="41" xfId="2" applyNumberFormat="1" applyFont="1" applyFill="1" applyBorder="1" applyAlignment="1"/>
    <xf numFmtId="166" fontId="15" fillId="0" borderId="129" xfId="0" applyNumberFormat="1" applyFont="1" applyBorder="1"/>
    <xf numFmtId="166" fontId="15" fillId="2" borderId="131" xfId="0" applyNumberFormat="1" applyFont="1" applyFill="1" applyBorder="1"/>
    <xf numFmtId="166" fontId="15" fillId="0" borderId="131" xfId="0" applyNumberFormat="1" applyFont="1" applyBorder="1"/>
    <xf numFmtId="166" fontId="13" fillId="2" borderId="131" xfId="2" applyNumberFormat="1" applyFont="1" applyFill="1" applyBorder="1" applyAlignment="1"/>
    <xf numFmtId="169" fontId="15" fillId="2" borderId="90" xfId="2" applyNumberFormat="1" applyFont="1" applyFill="1" applyBorder="1" applyAlignment="1"/>
    <xf numFmtId="166" fontId="15" fillId="0" borderId="134" xfId="0" applyNumberFormat="1" applyFont="1" applyBorder="1"/>
    <xf numFmtId="168" fontId="26" fillId="2" borderId="0" xfId="0" applyNumberFormat="1" applyFont="1" applyFill="1"/>
    <xf numFmtId="173" fontId="0" fillId="2" borderId="1" xfId="0" applyNumberFormat="1" applyFill="1" applyBorder="1" applyAlignment="1">
      <alignment horizontal="center" vertical="center"/>
    </xf>
    <xf numFmtId="174" fontId="41" fillId="2" borderId="1" xfId="6" applyNumberFormat="1" applyFont="1" applyFill="1" applyBorder="1" applyAlignment="1">
      <alignment horizontal="center" vertical="center" wrapText="1"/>
    </xf>
    <xf numFmtId="49" fontId="49" fillId="2" borderId="1" xfId="0" applyNumberFormat="1" applyFont="1" applyFill="1" applyBorder="1" applyAlignment="1">
      <alignment vertical="top"/>
    </xf>
    <xf numFmtId="166" fontId="15" fillId="2" borderId="100" xfId="0" applyNumberFormat="1" applyFont="1" applyFill="1" applyBorder="1"/>
    <xf numFmtId="166" fontId="15" fillId="2" borderId="133" xfId="0" applyNumberFormat="1" applyFont="1" applyFill="1" applyBorder="1"/>
    <xf numFmtId="166" fontId="15" fillId="2" borderId="20" xfId="0" applyNumberFormat="1" applyFont="1" applyFill="1" applyBorder="1" applyAlignment="1">
      <alignment horizontal="center"/>
    </xf>
    <xf numFmtId="167" fontId="13" fillId="15" borderId="157" xfId="2" applyNumberFormat="1" applyFont="1" applyFill="1" applyBorder="1" applyAlignment="1"/>
    <xf numFmtId="167" fontId="15" fillId="2" borderId="33" xfId="0" applyNumberFormat="1" applyFont="1" applyFill="1" applyBorder="1" applyAlignment="1">
      <alignment horizontal="center"/>
    </xf>
    <xf numFmtId="169" fontId="13" fillId="15" borderId="157" xfId="2" applyNumberFormat="1" applyFont="1" applyFill="1" applyBorder="1" applyAlignment="1"/>
    <xf numFmtId="168" fontId="13" fillId="15" borderId="157" xfId="2" applyNumberFormat="1" applyFont="1" applyFill="1" applyBorder="1" applyAlignment="1"/>
    <xf numFmtId="166" fontId="13" fillId="15" borderId="157" xfId="2" applyNumberFormat="1" applyFont="1" applyFill="1" applyBorder="1" applyAlignment="1"/>
    <xf numFmtId="165" fontId="13" fillId="15" borderId="157" xfId="2" applyFont="1" applyFill="1" applyBorder="1" applyAlignment="1"/>
    <xf numFmtId="166" fontId="13" fillId="15" borderId="157" xfId="2" applyNumberFormat="1" applyFont="1" applyFill="1" applyBorder="1"/>
    <xf numFmtId="168" fontId="13" fillId="15" borderId="157" xfId="2" applyNumberFormat="1" applyFont="1" applyFill="1" applyBorder="1"/>
    <xf numFmtId="167" fontId="13" fillId="15" borderId="157" xfId="0" applyNumberFormat="1" applyFont="1" applyFill="1" applyBorder="1"/>
    <xf numFmtId="167" fontId="13" fillId="15" borderId="158" xfId="2" applyNumberFormat="1" applyFont="1" applyFill="1" applyBorder="1" applyAlignment="1"/>
    <xf numFmtId="169" fontId="15" fillId="0" borderId="11" xfId="0" applyNumberFormat="1" applyFont="1" applyBorder="1" applyAlignment="1">
      <alignment horizontal="center"/>
    </xf>
    <xf numFmtId="168" fontId="15" fillId="0" borderId="20" xfId="2" applyNumberFormat="1" applyFont="1" applyFill="1" applyBorder="1" applyAlignment="1">
      <alignment horizontal="center"/>
    </xf>
    <xf numFmtId="169" fontId="15" fillId="2" borderId="59" xfId="0" applyNumberFormat="1" applyFont="1" applyFill="1" applyBorder="1"/>
    <xf numFmtId="165" fontId="15" fillId="2" borderId="11" xfId="2" applyFont="1" applyFill="1" applyBorder="1" applyAlignment="1">
      <alignment horizontal="center"/>
    </xf>
    <xf numFmtId="167" fontId="15" fillId="2" borderId="11" xfId="0" applyNumberFormat="1" applyFont="1" applyFill="1" applyBorder="1" applyAlignment="1">
      <alignment horizontal="center"/>
    </xf>
    <xf numFmtId="167" fontId="15" fillId="2" borderId="159" xfId="0" applyNumberFormat="1" applyFont="1" applyFill="1" applyBorder="1" applyAlignment="1">
      <alignment horizontal="center"/>
    </xf>
    <xf numFmtId="0" fontId="0" fillId="2" borderId="123" xfId="0" applyFill="1" applyBorder="1"/>
    <xf numFmtId="166" fontId="15" fillId="2" borderId="62" xfId="0" applyNumberFormat="1" applyFont="1" applyFill="1" applyBorder="1" applyAlignment="1">
      <alignment horizontal="center"/>
    </xf>
    <xf numFmtId="0" fontId="0" fillId="2" borderId="114" xfId="0" applyFill="1" applyBorder="1"/>
    <xf numFmtId="17" fontId="15" fillId="2" borderId="102" xfId="0" applyNumberFormat="1" applyFont="1" applyFill="1" applyBorder="1" applyAlignment="1">
      <alignment horizontal="center"/>
    </xf>
    <xf numFmtId="165" fontId="15" fillId="2" borderId="103" xfId="2" applyFont="1" applyFill="1" applyBorder="1" applyAlignment="1"/>
    <xf numFmtId="43" fontId="15" fillId="2" borderId="102" xfId="0" applyNumberFormat="1" applyFont="1" applyFill="1" applyBorder="1"/>
    <xf numFmtId="165" fontId="15" fillId="2" borderId="104" xfId="2" applyFont="1" applyFill="1" applyBorder="1"/>
    <xf numFmtId="167" fontId="7" fillId="2" borderId="114" xfId="2" applyNumberFormat="1" applyFont="1" applyFill="1" applyBorder="1" applyAlignment="1"/>
    <xf numFmtId="0" fontId="2" fillId="2" borderId="16" xfId="0" applyFont="1" applyFill="1" applyBorder="1"/>
    <xf numFmtId="166" fontId="13" fillId="15" borderId="160" xfId="2" applyNumberFormat="1" applyFont="1" applyFill="1" applyBorder="1" applyAlignment="1"/>
    <xf numFmtId="17" fontId="15" fillId="2" borderId="103" xfId="0" applyNumberFormat="1" applyFont="1" applyFill="1" applyBorder="1" applyAlignment="1">
      <alignment horizontal="center"/>
    </xf>
    <xf numFmtId="165" fontId="15" fillId="0" borderId="103" xfId="2" applyFont="1" applyFill="1" applyBorder="1" applyAlignment="1"/>
    <xf numFmtId="43" fontId="15" fillId="2" borderId="103" xfId="0" applyNumberFormat="1" applyFont="1" applyFill="1" applyBorder="1"/>
    <xf numFmtId="169" fontId="15" fillId="0" borderId="104" xfId="0" applyNumberFormat="1" applyFont="1" applyBorder="1"/>
    <xf numFmtId="165" fontId="15" fillId="2" borderId="161" xfId="2" applyFont="1" applyFill="1" applyBorder="1" applyAlignment="1">
      <alignment horizontal="center"/>
    </xf>
    <xf numFmtId="165" fontId="6" fillId="2" borderId="103" xfId="2" applyFont="1" applyFill="1" applyBorder="1" applyAlignment="1"/>
    <xf numFmtId="165" fontId="15" fillId="2" borderId="114" xfId="2" applyFont="1" applyFill="1" applyBorder="1" applyAlignment="1"/>
    <xf numFmtId="167" fontId="15" fillId="2" borderId="103" xfId="0" applyNumberFormat="1" applyFont="1" applyFill="1" applyBorder="1"/>
    <xf numFmtId="167" fontId="15" fillId="2" borderId="102" xfId="0" applyNumberFormat="1" applyFont="1" applyFill="1" applyBorder="1"/>
    <xf numFmtId="166" fontId="15" fillId="2" borderId="21" xfId="2" applyNumberFormat="1" applyFont="1" applyFill="1" applyBorder="1" applyAlignment="1"/>
    <xf numFmtId="167" fontId="15" fillId="2" borderId="103" xfId="2" applyNumberFormat="1" applyFont="1" applyFill="1" applyBorder="1" applyAlignment="1"/>
    <xf numFmtId="167" fontId="15" fillId="2" borderId="104" xfId="0" applyNumberFormat="1" applyFont="1" applyFill="1" applyBorder="1"/>
    <xf numFmtId="167" fontId="15" fillId="2" borderId="161" xfId="0" applyNumberFormat="1" applyFont="1" applyFill="1" applyBorder="1" applyAlignment="1">
      <alignment horizontal="center"/>
    </xf>
    <xf numFmtId="169" fontId="15" fillId="2" borderId="162" xfId="0" applyNumberFormat="1" applyFont="1" applyFill="1" applyBorder="1"/>
    <xf numFmtId="166" fontId="57" fillId="2" borderId="21" xfId="2" applyNumberFormat="1" applyFont="1" applyFill="1" applyBorder="1" applyAlignment="1"/>
    <xf numFmtId="169" fontId="15" fillId="0" borderId="162" xfId="0" applyNumberFormat="1" applyFont="1" applyBorder="1"/>
    <xf numFmtId="167" fontId="15" fillId="2" borderId="102" xfId="2" applyNumberFormat="1" applyFont="1" applyFill="1" applyBorder="1" applyAlignment="1"/>
    <xf numFmtId="167" fontId="15" fillId="0" borderId="104" xfId="0" applyNumberFormat="1" applyFont="1" applyBorder="1"/>
    <xf numFmtId="167" fontId="5" fillId="0" borderId="103" xfId="0" applyNumberFormat="1" applyFont="1" applyBorder="1"/>
    <xf numFmtId="43" fontId="34" fillId="12" borderId="0" xfId="2" applyNumberFormat="1" applyFont="1" applyFill="1" applyBorder="1" applyAlignment="1">
      <alignment horizontal="right" vertical="center"/>
    </xf>
    <xf numFmtId="14" fontId="49" fillId="0" borderId="1" xfId="0" applyNumberFormat="1" applyFont="1" applyBorder="1" applyAlignment="1">
      <alignment horizontal="left" vertical="center" wrapText="1"/>
    </xf>
    <xf numFmtId="14" fontId="53" fillId="0" borderId="1" xfId="0" applyNumberFormat="1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167" fontId="15" fillId="2" borderId="30" xfId="2" applyNumberFormat="1" applyFont="1" applyFill="1" applyBorder="1" applyAlignment="1">
      <alignment wrapText="1"/>
    </xf>
    <xf numFmtId="43" fontId="49" fillId="0" borderId="1" xfId="0" applyNumberFormat="1" applyFont="1" applyBorder="1"/>
    <xf numFmtId="43" fontId="49" fillId="0" borderId="0" xfId="0" applyNumberFormat="1" applyFont="1"/>
    <xf numFmtId="14" fontId="53" fillId="8" borderId="1" xfId="0" applyNumberFormat="1" applyFont="1" applyFill="1" applyBorder="1" applyAlignment="1">
      <alignment horizontal="left" vertical="center" wrapText="1"/>
    </xf>
    <xf numFmtId="0" fontId="0" fillId="2" borderId="98" xfId="0" applyFill="1" applyBorder="1"/>
    <xf numFmtId="0" fontId="49" fillId="2" borderId="1" xfId="0" applyFont="1" applyFill="1" applyBorder="1"/>
    <xf numFmtId="9" fontId="0" fillId="0" borderId="0" xfId="14" applyFont="1"/>
    <xf numFmtId="165" fontId="57" fillId="2" borderId="35" xfId="2" applyFont="1" applyFill="1" applyBorder="1" applyAlignment="1"/>
    <xf numFmtId="169" fontId="57" fillId="2" borderId="30" xfId="0" applyNumberFormat="1" applyFont="1" applyFill="1" applyBorder="1"/>
    <xf numFmtId="168" fontId="15" fillId="2" borderId="163" xfId="2" applyNumberFormat="1" applyFont="1" applyFill="1" applyBorder="1" applyAlignment="1"/>
    <xf numFmtId="168" fontId="15" fillId="2" borderId="58" xfId="2" applyNumberFormat="1" applyFont="1" applyFill="1" applyBorder="1" applyAlignment="1"/>
    <xf numFmtId="43" fontId="49" fillId="2" borderId="1" xfId="0" applyNumberFormat="1" applyFont="1" applyFill="1" applyBorder="1" applyAlignment="1">
      <alignment horizontal="left" vertical="center" wrapText="1"/>
    </xf>
    <xf numFmtId="172" fontId="5" fillId="0" borderId="1" xfId="0" applyNumberFormat="1" applyFont="1" applyBorder="1" applyAlignment="1">
      <alignment horizontal="left" vertical="top" wrapText="1"/>
    </xf>
    <xf numFmtId="43" fontId="49" fillId="2" borderId="1" xfId="0" applyNumberFormat="1" applyFont="1" applyFill="1" applyBorder="1"/>
    <xf numFmtId="167" fontId="15" fillId="2" borderId="101" xfId="0" applyNumberFormat="1" applyFont="1" applyFill="1" applyBorder="1"/>
    <xf numFmtId="165" fontId="13" fillId="15" borderId="111" xfId="2" applyFont="1" applyFill="1" applyBorder="1" applyAlignment="1"/>
    <xf numFmtId="168" fontId="13" fillId="15" borderId="111" xfId="2" applyNumberFormat="1" applyFont="1" applyFill="1" applyBorder="1"/>
    <xf numFmtId="167" fontId="15" fillId="2" borderId="77" xfId="2" applyNumberFormat="1" applyFont="1" applyFill="1" applyBorder="1"/>
    <xf numFmtId="167" fontId="15" fillId="2" borderId="77" xfId="2" applyNumberFormat="1" applyFont="1" applyFill="1" applyBorder="1" applyAlignment="1"/>
    <xf numFmtId="166" fontId="15" fillId="0" borderId="78" xfId="0" applyNumberFormat="1" applyFont="1" applyBorder="1"/>
    <xf numFmtId="0" fontId="0" fillId="2" borderId="130" xfId="0" applyFill="1" applyBorder="1"/>
    <xf numFmtId="169" fontId="15" fillId="2" borderId="164" xfId="2" applyNumberFormat="1" applyFont="1" applyFill="1" applyBorder="1" applyAlignment="1"/>
    <xf numFmtId="169" fontId="15" fillId="2" borderId="165" xfId="2" applyNumberFormat="1" applyFont="1" applyFill="1" applyBorder="1" applyAlignment="1"/>
    <xf numFmtId="169" fontId="15" fillId="2" borderId="166" xfId="2" applyNumberFormat="1" applyFont="1" applyFill="1" applyBorder="1" applyAlignment="1"/>
    <xf numFmtId="43" fontId="15" fillId="2" borderId="21" xfId="0" applyNumberFormat="1" applyFont="1" applyFill="1" applyBorder="1"/>
    <xf numFmtId="168" fontId="0" fillId="0" borderId="0" xfId="0" applyNumberFormat="1"/>
    <xf numFmtId="170" fontId="4" fillId="2" borderId="0" xfId="0" applyNumberFormat="1" applyFont="1" applyFill="1"/>
    <xf numFmtId="168" fontId="58" fillId="2" borderId="17" xfId="0" applyNumberFormat="1" applyFont="1" applyFill="1" applyBorder="1"/>
    <xf numFmtId="43" fontId="53" fillId="0" borderId="1" xfId="0" applyNumberFormat="1" applyFont="1" applyBorder="1"/>
    <xf numFmtId="166" fontId="13" fillId="15" borderId="168" xfId="1" applyNumberFormat="1" applyFont="1" applyFill="1" applyBorder="1" applyAlignment="1"/>
    <xf numFmtId="167" fontId="13" fillId="15" borderId="80" xfId="2" applyNumberFormat="1" applyFont="1" applyFill="1" applyBorder="1" applyAlignment="1"/>
    <xf numFmtId="0" fontId="53" fillId="2" borderId="1" xfId="0" applyFont="1" applyFill="1" applyBorder="1"/>
    <xf numFmtId="169" fontId="15" fillId="2" borderId="91" xfId="2" applyNumberFormat="1" applyFont="1" applyFill="1" applyBorder="1" applyAlignment="1"/>
    <xf numFmtId="165" fontId="1" fillId="0" borderId="1" xfId="2" applyFill="1" applyBorder="1"/>
    <xf numFmtId="165" fontId="57" fillId="2" borderId="9" xfId="2" applyFont="1" applyFill="1" applyBorder="1" applyAlignment="1"/>
    <xf numFmtId="0" fontId="18" fillId="0" borderId="121" xfId="0" applyFont="1" applyBorder="1" applyAlignment="1">
      <alignment horizontal="left" wrapText="1"/>
    </xf>
    <xf numFmtId="0" fontId="18" fillId="0" borderId="132" xfId="0" applyFont="1" applyBorder="1" applyAlignment="1">
      <alignment horizontal="left" wrapText="1"/>
    </xf>
    <xf numFmtId="168" fontId="0" fillId="2" borderId="0" xfId="2" applyNumberFormat="1" applyFont="1" applyFill="1"/>
    <xf numFmtId="168" fontId="6" fillId="0" borderId="0" xfId="2" applyNumberFormat="1" applyFont="1"/>
    <xf numFmtId="168" fontId="0" fillId="0" borderId="0" xfId="2" applyNumberFormat="1" applyFont="1"/>
    <xf numFmtId="167" fontId="13" fillId="15" borderId="169" xfId="0" applyNumberFormat="1" applyFont="1" applyFill="1" applyBorder="1"/>
    <xf numFmtId="166" fontId="13" fillId="15" borderId="170" xfId="2" applyNumberFormat="1" applyFont="1" applyFill="1" applyBorder="1" applyAlignment="1"/>
    <xf numFmtId="166" fontId="13" fillId="0" borderId="20" xfId="2" applyNumberFormat="1" applyFont="1" applyFill="1" applyBorder="1" applyAlignment="1"/>
    <xf numFmtId="167" fontId="6" fillId="0" borderId="30" xfId="0" applyNumberFormat="1" applyFont="1" applyBorder="1"/>
    <xf numFmtId="166" fontId="15" fillId="0" borderId="20" xfId="2" applyNumberFormat="1" applyFont="1" applyFill="1" applyBorder="1" applyAlignment="1"/>
    <xf numFmtId="0" fontId="16" fillId="0" borderId="111" xfId="0" applyFont="1" applyBorder="1" applyAlignment="1">
      <alignment horizontal="left"/>
    </xf>
    <xf numFmtId="169" fontId="16" fillId="0" borderId="45" xfId="2" applyNumberFormat="1" applyFont="1" applyFill="1" applyBorder="1" applyAlignment="1"/>
    <xf numFmtId="168" fontId="16" fillId="0" borderId="61" xfId="2" applyNumberFormat="1" applyFont="1" applyFill="1" applyBorder="1" applyAlignment="1"/>
    <xf numFmtId="165" fontId="62" fillId="2" borderId="34" xfId="2" applyFont="1" applyFill="1" applyBorder="1" applyAlignment="1"/>
    <xf numFmtId="168" fontId="16" fillId="2" borderId="61" xfId="2" applyNumberFormat="1" applyFont="1" applyFill="1" applyBorder="1" applyAlignment="1"/>
    <xf numFmtId="165" fontId="16" fillId="2" borderId="85" xfId="2" applyFont="1" applyFill="1" applyBorder="1" applyAlignment="1"/>
    <xf numFmtId="0" fontId="61" fillId="2" borderId="56" xfId="0" applyFont="1" applyFill="1" applyBorder="1"/>
    <xf numFmtId="0" fontId="61" fillId="2" borderId="33" xfId="0" applyFont="1" applyFill="1" applyBorder="1"/>
    <xf numFmtId="168" fontId="16" fillId="2" borderId="63" xfId="2" applyNumberFormat="1" applyFont="1" applyFill="1" applyBorder="1" applyAlignment="1"/>
    <xf numFmtId="165" fontId="16" fillId="2" borderId="45" xfId="2" applyFont="1" applyFill="1" applyBorder="1" applyAlignment="1"/>
    <xf numFmtId="168" fontId="16" fillId="0" borderId="12" xfId="2" applyNumberFormat="1" applyFont="1" applyFill="1" applyBorder="1" applyAlignment="1"/>
    <xf numFmtId="165" fontId="16" fillId="0" borderId="79" xfId="2" applyFont="1" applyFill="1" applyBorder="1" applyAlignment="1"/>
    <xf numFmtId="166" fontId="16" fillId="0" borderId="8" xfId="0" applyNumberFormat="1" applyFont="1" applyBorder="1"/>
    <xf numFmtId="167" fontId="16" fillId="0" borderId="79" xfId="2" applyNumberFormat="1" applyFont="1" applyFill="1" applyBorder="1" applyAlignment="1"/>
    <xf numFmtId="166" fontId="16" fillId="2" borderId="10" xfId="2" applyNumberFormat="1" applyFont="1" applyFill="1" applyBorder="1" applyAlignment="1"/>
    <xf numFmtId="165" fontId="16" fillId="2" borderId="147" xfId="2" applyFont="1" applyFill="1" applyBorder="1" applyAlignment="1"/>
    <xf numFmtId="166" fontId="16" fillId="0" borderId="94" xfId="0" applyNumberFormat="1" applyFont="1" applyBorder="1" applyAlignment="1">
      <alignment horizontal="center"/>
    </xf>
    <xf numFmtId="167" fontId="16" fillId="0" borderId="45" xfId="2" applyNumberFormat="1" applyFont="1" applyFill="1" applyBorder="1" applyAlignment="1"/>
    <xf numFmtId="167" fontId="16" fillId="0" borderId="45" xfId="0" applyNumberFormat="1" applyFont="1" applyBorder="1"/>
    <xf numFmtId="166" fontId="16" fillId="2" borderId="63" xfId="0" applyNumberFormat="1" applyFont="1" applyFill="1" applyBorder="1" applyAlignment="1">
      <alignment horizontal="center"/>
    </xf>
    <xf numFmtId="167" fontId="16" fillId="2" borderId="45" xfId="2" applyNumberFormat="1" applyFont="1" applyFill="1" applyBorder="1" applyAlignment="1"/>
    <xf numFmtId="166" fontId="16" fillId="2" borderId="12" xfId="0" applyNumberFormat="1" applyFont="1" applyFill="1" applyBorder="1" applyAlignment="1">
      <alignment horizontal="center"/>
    </xf>
    <xf numFmtId="171" fontId="61" fillId="0" borderId="0" xfId="0" applyNumberFormat="1" applyFont="1"/>
    <xf numFmtId="0" fontId="61" fillId="2" borderId="0" xfId="0" applyFont="1" applyFill="1"/>
    <xf numFmtId="166" fontId="13" fillId="15" borderId="41" xfId="1" applyNumberFormat="1" applyFont="1" applyFill="1" applyBorder="1" applyAlignment="1"/>
    <xf numFmtId="167" fontId="7" fillId="0" borderId="9" xfId="2" applyNumberFormat="1" applyFont="1" applyFill="1" applyBorder="1" applyAlignment="1"/>
    <xf numFmtId="167" fontId="13" fillId="15" borderId="171" xfId="2" applyNumberFormat="1" applyFont="1" applyFill="1" applyBorder="1" applyAlignment="1"/>
    <xf numFmtId="166" fontId="13" fillId="15" borderId="172" xfId="1" applyNumberFormat="1" applyFont="1" applyFill="1" applyBorder="1" applyAlignment="1"/>
    <xf numFmtId="166" fontId="13" fillId="15" borderId="14" xfId="0" applyNumberFormat="1" applyFont="1" applyFill="1" applyBorder="1"/>
    <xf numFmtId="166" fontId="13" fillId="15" borderId="13" xfId="0" applyNumberFormat="1" applyFont="1" applyFill="1" applyBorder="1"/>
    <xf numFmtId="167" fontId="14" fillId="5" borderId="120" xfId="0" applyNumberFormat="1" applyFont="1" applyFill="1" applyBorder="1" applyAlignment="1">
      <alignment horizontal="center"/>
    </xf>
    <xf numFmtId="166" fontId="14" fillId="5" borderId="48" xfId="0" applyNumberFormat="1" applyFont="1" applyFill="1" applyBorder="1" applyAlignment="1">
      <alignment horizontal="center"/>
    </xf>
    <xf numFmtId="166" fontId="6" fillId="2" borderId="17" xfId="0" applyNumberFormat="1" applyFont="1" applyFill="1" applyBorder="1" applyAlignment="1">
      <alignment horizontal="center"/>
    </xf>
    <xf numFmtId="166" fontId="6" fillId="2" borderId="148" xfId="0" applyNumberFormat="1" applyFont="1" applyFill="1" applyBorder="1" applyAlignment="1">
      <alignment horizontal="center"/>
    </xf>
    <xf numFmtId="167" fontId="16" fillId="2" borderId="91" xfId="2" applyNumberFormat="1" applyFont="1" applyFill="1" applyBorder="1" applyAlignment="1"/>
    <xf numFmtId="166" fontId="16" fillId="2" borderId="94" xfId="0" applyNumberFormat="1" applyFont="1" applyFill="1" applyBorder="1" applyAlignment="1">
      <alignment horizontal="center"/>
    </xf>
    <xf numFmtId="166" fontId="16" fillId="0" borderId="63" xfId="0" applyNumberFormat="1" applyFont="1" applyBorder="1" applyAlignment="1">
      <alignment horizontal="center"/>
    </xf>
    <xf numFmtId="0" fontId="53" fillId="0" borderId="1" xfId="0" applyFont="1" applyBorder="1" applyAlignment="1">
      <alignment horizontal="left" vertical="center" wrapText="1"/>
    </xf>
    <xf numFmtId="169" fontId="15" fillId="0" borderId="137" xfId="2" applyNumberFormat="1" applyFont="1" applyFill="1" applyBorder="1" applyAlignment="1"/>
    <xf numFmtId="0" fontId="15" fillId="0" borderId="93" xfId="0" applyFont="1" applyBorder="1" applyAlignment="1">
      <alignment horizontal="left" wrapText="1"/>
    </xf>
    <xf numFmtId="4" fontId="39" fillId="0" borderId="1" xfId="2" applyNumberFormat="1" applyFont="1" applyFill="1" applyBorder="1" applyAlignment="1">
      <alignment horizontal="center" vertical="center" wrapText="1"/>
    </xf>
    <xf numFmtId="43" fontId="15" fillId="2" borderId="0" xfId="0" applyNumberFormat="1" applyFont="1" applyFill="1"/>
    <xf numFmtId="165" fontId="15" fillId="2" borderId="173" xfId="2" applyFont="1" applyFill="1" applyBorder="1" applyAlignment="1"/>
    <xf numFmtId="166" fontId="15" fillId="2" borderId="0" xfId="0" applyNumberFormat="1" applyFont="1" applyFill="1"/>
    <xf numFmtId="165" fontId="15" fillId="2" borderId="156" xfId="2" applyFont="1" applyFill="1" applyBorder="1" applyAlignment="1"/>
    <xf numFmtId="169" fontId="15" fillId="0" borderId="146" xfId="0" applyNumberFormat="1" applyFont="1" applyBorder="1"/>
    <xf numFmtId="168" fontId="15" fillId="0" borderId="148" xfId="2" applyNumberFormat="1" applyFont="1" applyFill="1" applyBorder="1" applyAlignment="1"/>
    <xf numFmtId="169" fontId="13" fillId="2" borderId="140" xfId="2" applyNumberFormat="1" applyFont="1" applyFill="1" applyBorder="1" applyAlignment="1"/>
    <xf numFmtId="169" fontId="15" fillId="0" borderId="174" xfId="0" applyNumberFormat="1" applyFont="1" applyBorder="1"/>
    <xf numFmtId="167" fontId="57" fillId="2" borderId="114" xfId="2" applyNumberFormat="1" applyFont="1" applyFill="1" applyBorder="1" applyAlignment="1"/>
    <xf numFmtId="0" fontId="6" fillId="0" borderId="149" xfId="0" applyFont="1" applyBorder="1"/>
    <xf numFmtId="167" fontId="57" fillId="0" borderId="30" xfId="2" applyNumberFormat="1" applyFont="1" applyFill="1" applyBorder="1" applyAlignment="1"/>
    <xf numFmtId="0" fontId="49" fillId="0" borderId="1" xfId="0" applyFont="1" applyBorder="1" applyAlignment="1">
      <alignment horizontal="left" vertical="center"/>
    </xf>
    <xf numFmtId="168" fontId="53" fillId="0" borderId="1" xfId="0" applyNumberFormat="1" applyFont="1" applyBorder="1"/>
    <xf numFmtId="165" fontId="1" fillId="2" borderId="167" xfId="2" applyFill="1" applyBorder="1"/>
    <xf numFmtId="165" fontId="1" fillId="2" borderId="31" xfId="2" applyFill="1" applyBorder="1"/>
    <xf numFmtId="165" fontId="5" fillId="0" borderId="1" xfId="2" applyFont="1" applyFill="1" applyBorder="1"/>
    <xf numFmtId="170" fontId="19" fillId="0" borderId="1" xfId="2" applyNumberFormat="1" applyFont="1" applyFill="1" applyBorder="1" applyAlignment="1">
      <alignment horizontal="right" vertical="center"/>
    </xf>
    <xf numFmtId="170" fontId="53" fillId="0" borderId="1" xfId="2" applyNumberFormat="1" applyFont="1" applyFill="1" applyBorder="1" applyAlignment="1">
      <alignment horizontal="right" vertical="center" wrapText="1"/>
    </xf>
    <xf numFmtId="170" fontId="49" fillId="0" borderId="1" xfId="2" applyNumberFormat="1" applyFont="1" applyFill="1" applyBorder="1" applyAlignment="1">
      <alignment horizontal="right" vertical="center" wrapText="1"/>
    </xf>
    <xf numFmtId="0" fontId="60" fillId="0" borderId="1" xfId="0" applyFont="1" applyBorder="1" applyAlignment="1">
      <alignment vertical="center" wrapText="1"/>
    </xf>
    <xf numFmtId="170" fontId="60" fillId="0" borderId="1" xfId="2" applyNumberFormat="1" applyFont="1" applyFill="1" applyBorder="1" applyAlignment="1">
      <alignment horizontal="right" vertical="center"/>
    </xf>
    <xf numFmtId="170" fontId="19" fillId="0" borderId="1" xfId="2" applyNumberFormat="1" applyFont="1" applyFill="1" applyBorder="1" applyAlignment="1">
      <alignment vertical="center"/>
    </xf>
    <xf numFmtId="170" fontId="5" fillId="0" borderId="1" xfId="2" applyNumberFormat="1" applyFont="1" applyFill="1" applyBorder="1"/>
    <xf numFmtId="170" fontId="60" fillId="0" borderId="1" xfId="2" applyNumberFormat="1" applyFont="1" applyFill="1" applyBorder="1" applyAlignment="1">
      <alignment horizontal="right" vertical="center" wrapText="1"/>
    </xf>
    <xf numFmtId="170" fontId="8" fillId="0" borderId="1" xfId="2" applyNumberFormat="1" applyFont="1" applyFill="1" applyBorder="1"/>
    <xf numFmtId="170" fontId="47" fillId="0" borderId="1" xfId="2" applyNumberFormat="1" applyFont="1" applyFill="1" applyBorder="1" applyAlignment="1">
      <alignment horizontal="right" vertical="center" wrapText="1"/>
    </xf>
    <xf numFmtId="165" fontId="49" fillId="0" borderId="1" xfId="2" applyFont="1" applyFill="1" applyBorder="1" applyAlignment="1">
      <alignment horizontal="right" vertical="center" wrapText="1"/>
    </xf>
    <xf numFmtId="165" fontId="8" fillId="0" borderId="1" xfId="2" applyFont="1" applyFill="1" applyBorder="1"/>
    <xf numFmtId="0" fontId="19" fillId="0" borderId="1" xfId="0" applyFont="1" applyBorder="1" applyAlignment="1">
      <alignment horizontal="left" vertical="center" wrapText="1"/>
    </xf>
    <xf numFmtId="4" fontId="45" fillId="0" borderId="1" xfId="2" applyNumberFormat="1" applyFont="1" applyFill="1" applyBorder="1" applyAlignment="1">
      <alignment horizontal="center" vertical="center" wrapText="1"/>
    </xf>
    <xf numFmtId="44" fontId="49" fillId="0" borderId="1" xfId="0" applyNumberFormat="1" applyFont="1" applyBorder="1" applyAlignment="1">
      <alignment horizontal="right" vertical="center" wrapText="1"/>
    </xf>
    <xf numFmtId="168" fontId="5" fillId="0" borderId="1" xfId="2" applyNumberFormat="1" applyFont="1" applyFill="1" applyBorder="1" applyAlignment="1">
      <alignment horizontal="center"/>
    </xf>
    <xf numFmtId="170" fontId="5" fillId="0" borderId="1" xfId="2" applyNumberFormat="1" applyFont="1" applyFill="1" applyBorder="1" applyAlignment="1">
      <alignment horizontal="right" vertical="center"/>
    </xf>
    <xf numFmtId="165" fontId="5" fillId="0" borderId="1" xfId="2" applyFont="1" applyFill="1" applyBorder="1" applyAlignment="1">
      <alignment vertical="center"/>
    </xf>
    <xf numFmtId="170" fontId="5" fillId="0" borderId="1" xfId="2" applyNumberFormat="1" applyFont="1" applyFill="1" applyBorder="1" applyAlignment="1">
      <alignment horizontal="right" vertical="center" wrapText="1"/>
    </xf>
    <xf numFmtId="172" fontId="34" fillId="0" borderId="1" xfId="0" applyNumberFormat="1" applyFont="1" applyBorder="1" applyAlignment="1">
      <alignment horizontal="left" vertical="top" wrapText="1"/>
    </xf>
    <xf numFmtId="170" fontId="34" fillId="0" borderId="1" xfId="2" applyNumberFormat="1" applyFont="1" applyFill="1" applyBorder="1" applyAlignment="1">
      <alignment horizontal="right" vertical="center"/>
    </xf>
    <xf numFmtId="170" fontId="49" fillId="0" borderId="1" xfId="2" applyNumberFormat="1" applyFont="1" applyFill="1" applyBorder="1"/>
    <xf numFmtId="170" fontId="53" fillId="0" borderId="1" xfId="2" applyNumberFormat="1" applyFont="1" applyFill="1" applyBorder="1" applyAlignment="1">
      <alignment horizontal="right" vertical="center"/>
    </xf>
    <xf numFmtId="165" fontId="53" fillId="0" borderId="1" xfId="2" applyFont="1" applyFill="1" applyBorder="1" applyAlignment="1">
      <alignment vertical="center"/>
    </xf>
    <xf numFmtId="170" fontId="49" fillId="0" borderId="1" xfId="2" applyNumberFormat="1" applyFont="1" applyFill="1" applyBorder="1" applyAlignment="1">
      <alignment horizontal="right" vertical="center"/>
    </xf>
    <xf numFmtId="0" fontId="47" fillId="0" borderId="1" xfId="0" applyFont="1" applyBorder="1" applyAlignment="1">
      <alignment vertical="center" wrapText="1"/>
    </xf>
    <xf numFmtId="170" fontId="47" fillId="0" borderId="1" xfId="2" applyNumberFormat="1" applyFont="1" applyFill="1" applyBorder="1"/>
    <xf numFmtId="165" fontId="49" fillId="0" borderId="1" xfId="2" applyFont="1" applyFill="1" applyBorder="1" applyAlignment="1">
      <alignment vertical="center"/>
    </xf>
    <xf numFmtId="165" fontId="49" fillId="0" borderId="1" xfId="2" applyFont="1" applyFill="1" applyBorder="1"/>
    <xf numFmtId="14" fontId="50" fillId="8" borderId="1" xfId="0" applyNumberFormat="1" applyFont="1" applyFill="1" applyBorder="1" applyAlignment="1">
      <alignment horizontal="left" vertical="center" wrapText="1"/>
    </xf>
    <xf numFmtId="166" fontId="16" fillId="0" borderId="12" xfId="0" applyNumberFormat="1" applyFont="1" applyBorder="1" applyAlignment="1">
      <alignment horizontal="center"/>
    </xf>
    <xf numFmtId="167" fontId="57" fillId="2" borderId="9" xfId="2" applyNumberFormat="1" applyFont="1" applyFill="1" applyBorder="1" applyAlignment="1"/>
    <xf numFmtId="168" fontId="63" fillId="0" borderId="21" xfId="2" applyNumberFormat="1" applyFont="1" applyFill="1" applyBorder="1" applyAlignment="1"/>
    <xf numFmtId="169" fontId="6" fillId="2" borderId="43" xfId="0" applyNumberFormat="1" applyFont="1" applyFill="1" applyBorder="1"/>
    <xf numFmtId="168" fontId="63" fillId="2" borderId="66" xfId="0" applyNumberFormat="1" applyFont="1" applyFill="1" applyBorder="1"/>
    <xf numFmtId="169" fontId="6" fillId="2" borderId="30" xfId="0" applyNumberFormat="1" applyFont="1" applyFill="1" applyBorder="1"/>
    <xf numFmtId="43" fontId="63" fillId="2" borderId="55" xfId="0" applyNumberFormat="1" applyFont="1" applyFill="1" applyBorder="1"/>
    <xf numFmtId="167" fontId="6" fillId="2" borderId="30" xfId="2" applyNumberFormat="1" applyFont="1" applyFill="1" applyBorder="1" applyAlignment="1">
      <alignment wrapText="1"/>
    </xf>
    <xf numFmtId="43" fontId="63" fillId="2" borderId="8" xfId="0" applyNumberFormat="1" applyFont="1" applyFill="1" applyBorder="1"/>
    <xf numFmtId="166" fontId="63" fillId="2" borderId="8" xfId="0" applyNumberFormat="1" applyFont="1" applyFill="1" applyBorder="1"/>
    <xf numFmtId="0" fontId="23" fillId="2" borderId="0" xfId="0" applyFont="1" applyFill="1"/>
    <xf numFmtId="167" fontId="6" fillId="0" borderId="11" xfId="2" applyNumberFormat="1" applyFont="1" applyFill="1" applyBorder="1" applyAlignment="1"/>
    <xf numFmtId="167" fontId="6" fillId="2" borderId="9" xfId="0" applyNumberFormat="1" applyFont="1" applyFill="1" applyBorder="1"/>
    <xf numFmtId="167" fontId="6" fillId="0" borderId="114" xfId="2" applyNumberFormat="1" applyFont="1" applyFill="1" applyBorder="1" applyAlignment="1"/>
    <xf numFmtId="166" fontId="6" fillId="2" borderId="115" xfId="0" applyNumberFormat="1" applyFont="1" applyFill="1" applyBorder="1"/>
    <xf numFmtId="166" fontId="63" fillId="2" borderId="55" xfId="0" applyNumberFormat="1" applyFont="1" applyFill="1" applyBorder="1"/>
    <xf numFmtId="166" fontId="6" fillId="0" borderId="17" xfId="0" applyNumberFormat="1" applyFont="1" applyBorder="1"/>
    <xf numFmtId="164" fontId="23" fillId="0" borderId="0" xfId="0" applyNumberFormat="1" applyFont="1"/>
    <xf numFmtId="171" fontId="23" fillId="0" borderId="0" xfId="0" applyNumberFormat="1" applyFont="1"/>
    <xf numFmtId="168" fontId="15" fillId="0" borderId="12" xfId="2" applyNumberFormat="1" applyFont="1" applyFill="1" applyBorder="1" applyAlignment="1"/>
    <xf numFmtId="169" fontId="15" fillId="2" borderId="45" xfId="2" applyNumberFormat="1" applyFont="1" applyFill="1" applyBorder="1" applyAlignment="1"/>
    <xf numFmtId="169" fontId="13" fillId="2" borderId="79" xfId="2" applyNumberFormat="1" applyFont="1" applyFill="1" applyBorder="1" applyAlignment="1"/>
    <xf numFmtId="43" fontId="15" fillId="2" borderId="3" xfId="0" applyNumberFormat="1" applyFont="1" applyFill="1" applyBorder="1"/>
    <xf numFmtId="43" fontId="5" fillId="0" borderId="34" xfId="0" applyNumberFormat="1" applyFont="1" applyBorder="1"/>
    <xf numFmtId="0" fontId="6" fillId="0" borderId="175" xfId="0" applyFont="1" applyBorder="1"/>
    <xf numFmtId="167" fontId="15" fillId="0" borderId="147" xfId="2" applyNumberFormat="1" applyFont="1" applyFill="1" applyBorder="1" applyAlignment="1"/>
    <xf numFmtId="167" fontId="15" fillId="2" borderId="33" xfId="0" applyNumberFormat="1" applyFont="1" applyFill="1" applyBorder="1"/>
    <xf numFmtId="44" fontId="49" fillId="2" borderId="1" xfId="2" applyNumberFormat="1" applyFont="1" applyFill="1" applyBorder="1" applyAlignment="1">
      <alignment horizontal="center" vertical="center" wrapText="1"/>
    </xf>
    <xf numFmtId="170" fontId="49" fillId="0" borderId="1" xfId="2" applyNumberFormat="1" applyFont="1" applyBorder="1"/>
    <xf numFmtId="170" fontId="49" fillId="2" borderId="1" xfId="2" applyNumberFormat="1" applyFont="1" applyFill="1" applyBorder="1" applyAlignment="1">
      <alignment horizontal="center" vertical="center" wrapText="1"/>
    </xf>
    <xf numFmtId="0" fontId="50" fillId="8" borderId="1" xfId="0" applyFont="1" applyFill="1" applyBorder="1" applyAlignment="1">
      <alignment vertical="center" wrapText="1"/>
    </xf>
    <xf numFmtId="170" fontId="50" fillId="0" borderId="1" xfId="0" applyNumberFormat="1" applyFont="1" applyBorder="1"/>
    <xf numFmtId="43" fontId="53" fillId="2" borderId="1" xfId="0" applyNumberFormat="1" applyFont="1" applyFill="1" applyBorder="1" applyAlignment="1">
      <alignment horizontal="left" vertical="center" wrapText="1"/>
    </xf>
    <xf numFmtId="170" fontId="53" fillId="0" borderId="1" xfId="2" applyNumberFormat="1" applyFont="1" applyBorder="1"/>
    <xf numFmtId="167" fontId="15" fillId="0" borderId="35" xfId="0" applyNumberFormat="1" applyFont="1" applyBorder="1"/>
    <xf numFmtId="14" fontId="54" fillId="8" borderId="1" xfId="0" applyNumberFormat="1" applyFont="1" applyFill="1" applyBorder="1" applyAlignment="1">
      <alignment horizontal="left" vertical="center" wrapText="1"/>
    </xf>
    <xf numFmtId="43" fontId="54" fillId="2" borderId="1" xfId="0" applyNumberFormat="1" applyFont="1" applyFill="1" applyBorder="1" applyAlignment="1">
      <alignment horizontal="left" vertical="center" wrapText="1"/>
    </xf>
    <xf numFmtId="170" fontId="34" fillId="0" borderId="1" xfId="2" applyNumberFormat="1" applyFont="1" applyFill="1" applyBorder="1"/>
    <xf numFmtId="0" fontId="51" fillId="0" borderId="25" xfId="0" applyFont="1" applyBorder="1" applyAlignment="1">
      <alignment horizontal="center" vertical="center" wrapText="1"/>
    </xf>
    <xf numFmtId="4" fontId="39" fillId="0" borderId="25" xfId="2" applyNumberFormat="1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170" fontId="60" fillId="0" borderId="1" xfId="2" applyNumberFormat="1" applyFont="1" applyFill="1" applyBorder="1"/>
    <xf numFmtId="165" fontId="49" fillId="0" borderId="1" xfId="2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165" fontId="60" fillId="0" borderId="1" xfId="2" applyFont="1" applyFill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4" fontId="53" fillId="0" borderId="1" xfId="2" applyNumberFormat="1" applyFont="1" applyFill="1" applyBorder="1" applyAlignment="1">
      <alignment horizontal="center" vertical="center" wrapText="1"/>
    </xf>
    <xf numFmtId="170" fontId="53" fillId="0" borderId="1" xfId="2" applyNumberFormat="1" applyFont="1" applyFill="1" applyBorder="1"/>
    <xf numFmtId="0" fontId="49" fillId="0" borderId="1" xfId="0" applyFont="1" applyBorder="1" applyAlignment="1">
      <alignment horizontal="center" vertical="center" wrapText="1"/>
    </xf>
    <xf numFmtId="170" fontId="19" fillId="0" borderId="1" xfId="2" applyNumberFormat="1" applyFont="1" applyFill="1" applyBorder="1"/>
    <xf numFmtId="43" fontId="50" fillId="0" borderId="1" xfId="0" applyNumberFormat="1" applyFont="1" applyBorder="1" applyAlignment="1">
      <alignment horizontal="right" vertical="center" wrapText="1"/>
    </xf>
    <xf numFmtId="4" fontId="49" fillId="0" borderId="1" xfId="2" applyNumberFormat="1" applyFont="1" applyFill="1" applyBorder="1" applyAlignment="1">
      <alignment horizontal="center" vertical="center" wrapText="1"/>
    </xf>
    <xf numFmtId="44" fontId="50" fillId="0" borderId="1" xfId="0" applyNumberFormat="1" applyFont="1" applyBorder="1" applyAlignment="1">
      <alignment horizontal="right" vertical="center" wrapText="1"/>
    </xf>
    <xf numFmtId="4" fontId="50" fillId="0" borderId="1" xfId="2" applyNumberFormat="1" applyFont="1" applyFill="1" applyBorder="1" applyAlignment="1">
      <alignment horizontal="center" vertical="center" wrapText="1"/>
    </xf>
    <xf numFmtId="44" fontId="53" fillId="0" borderId="1" xfId="0" applyNumberFormat="1" applyFont="1" applyBorder="1" applyAlignment="1">
      <alignment horizontal="right" vertical="center" wrapText="1"/>
    </xf>
    <xf numFmtId="44" fontId="49" fillId="0" borderId="1" xfId="2" applyNumberFormat="1" applyFont="1" applyFill="1" applyBorder="1" applyAlignment="1">
      <alignment horizontal="center" vertical="center" wrapText="1"/>
    </xf>
    <xf numFmtId="44" fontId="54" fillId="0" borderId="1" xfId="0" applyNumberFormat="1" applyFont="1" applyBorder="1" applyAlignment="1">
      <alignment horizontal="right" vertical="center" wrapText="1"/>
    </xf>
    <xf numFmtId="165" fontId="16" fillId="2" borderId="34" xfId="2" applyFont="1" applyFill="1" applyBorder="1" applyAlignment="1"/>
    <xf numFmtId="169" fontId="15" fillId="2" borderId="140" xfId="2" applyNumberFormat="1" applyFont="1" applyFill="1" applyBorder="1" applyAlignment="1"/>
    <xf numFmtId="44" fontId="43" fillId="2" borderId="1" xfId="2" applyNumberFormat="1" applyFont="1" applyFill="1" applyBorder="1"/>
    <xf numFmtId="167" fontId="15" fillId="0" borderId="91" xfId="2" applyNumberFormat="1" applyFont="1" applyFill="1" applyBorder="1" applyAlignment="1"/>
    <xf numFmtId="43" fontId="15" fillId="2" borderId="176" xfId="0" applyNumberFormat="1" applyFont="1" applyFill="1" applyBorder="1"/>
    <xf numFmtId="0" fontId="15" fillId="0" borderId="177" xfId="0" applyFont="1" applyBorder="1" applyAlignment="1">
      <alignment horizontal="left" wrapText="1"/>
    </xf>
    <xf numFmtId="0" fontId="30" fillId="10" borderId="0" xfId="5" applyFont="1" applyFill="1" applyAlignment="1">
      <alignment horizontal="center" vertical="center" wrapText="1"/>
    </xf>
    <xf numFmtId="0" fontId="25" fillId="9" borderId="12" xfId="0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4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8" fontId="9" fillId="2" borderId="2" xfId="2" applyNumberFormat="1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17" fontId="14" fillId="4" borderId="74" xfId="0" applyNumberFormat="1" applyFont="1" applyFill="1" applyBorder="1" applyAlignment="1">
      <alignment horizontal="center"/>
    </xf>
    <xf numFmtId="17" fontId="14" fillId="4" borderId="22" xfId="0" applyNumberFormat="1" applyFont="1" applyFill="1" applyBorder="1" applyAlignment="1">
      <alignment horizontal="center"/>
    </xf>
    <xf numFmtId="0" fontId="58" fillId="2" borderId="100" xfId="0" applyFont="1" applyFill="1" applyBorder="1" applyAlignment="1">
      <alignment horizontal="center"/>
    </xf>
    <xf numFmtId="0" fontId="58" fillId="2" borderId="10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 wrapText="1"/>
    </xf>
    <xf numFmtId="167" fontId="13" fillId="2" borderId="92" xfId="0" applyNumberFormat="1" applyFont="1" applyFill="1" applyBorder="1" applyAlignment="1">
      <alignment horizontal="center"/>
    </xf>
    <xf numFmtId="167" fontId="13" fillId="2" borderId="72" xfId="0" applyNumberFormat="1" applyFont="1" applyFill="1" applyBorder="1" applyAlignment="1">
      <alignment horizontal="center"/>
    </xf>
    <xf numFmtId="167" fontId="13" fillId="0" borderId="67" xfId="0" applyNumberFormat="1" applyFont="1" applyBorder="1" applyAlignment="1">
      <alignment horizontal="center"/>
    </xf>
    <xf numFmtId="167" fontId="13" fillId="0" borderId="68" xfId="0" applyNumberFormat="1" applyFont="1" applyBorder="1" applyAlignment="1">
      <alignment horizontal="center"/>
    </xf>
    <xf numFmtId="167" fontId="13" fillId="0" borderId="86" xfId="0" applyNumberFormat="1" applyFont="1" applyBorder="1" applyAlignment="1">
      <alignment horizontal="center"/>
    </xf>
    <xf numFmtId="167" fontId="13" fillId="0" borderId="72" xfId="0" applyNumberFormat="1" applyFont="1" applyBorder="1" applyAlignment="1">
      <alignment horizontal="center"/>
    </xf>
    <xf numFmtId="17" fontId="14" fillId="5" borderId="25" xfId="0" applyNumberFormat="1" applyFont="1" applyFill="1" applyBorder="1" applyAlignment="1">
      <alignment horizontal="center"/>
    </xf>
    <xf numFmtId="17" fontId="14" fillId="5" borderId="16" xfId="0" applyNumberFormat="1" applyFont="1" applyFill="1" applyBorder="1" applyAlignment="1">
      <alignment horizontal="center"/>
    </xf>
    <xf numFmtId="17" fontId="14" fillId="5" borderId="75" xfId="0" applyNumberFormat="1" applyFont="1" applyFill="1" applyBorder="1" applyAlignment="1">
      <alignment horizontal="center"/>
    </xf>
    <xf numFmtId="17" fontId="14" fillId="5" borderId="76" xfId="0" applyNumberFormat="1" applyFont="1" applyFill="1" applyBorder="1" applyAlignment="1">
      <alignment horizontal="center"/>
    </xf>
    <xf numFmtId="17" fontId="14" fillId="5" borderId="46" xfId="0" applyNumberFormat="1" applyFont="1" applyFill="1" applyBorder="1" applyAlignment="1">
      <alignment horizontal="center"/>
    </xf>
    <xf numFmtId="17" fontId="14" fillId="5" borderId="50" xfId="0" applyNumberFormat="1" applyFont="1" applyFill="1" applyBorder="1" applyAlignment="1">
      <alignment horizontal="center"/>
    </xf>
    <xf numFmtId="17" fontId="14" fillId="5" borderId="49" xfId="0" applyNumberFormat="1" applyFont="1" applyFill="1" applyBorder="1" applyAlignment="1">
      <alignment horizontal="center"/>
    </xf>
    <xf numFmtId="17" fontId="14" fillId="5" borderId="64" xfId="0" applyNumberFormat="1" applyFont="1" applyFill="1" applyBorder="1" applyAlignment="1">
      <alignment horizontal="center"/>
    </xf>
    <xf numFmtId="17" fontId="14" fillId="5" borderId="96" xfId="0" applyNumberFormat="1" applyFont="1" applyFill="1" applyBorder="1" applyAlignment="1">
      <alignment horizontal="center"/>
    </xf>
    <xf numFmtId="17" fontId="14" fillId="5" borderId="53" xfId="0" applyNumberFormat="1" applyFont="1" applyFill="1" applyBorder="1" applyAlignment="1">
      <alignment horizontal="center"/>
    </xf>
    <xf numFmtId="17" fontId="14" fillId="5" borderId="82" xfId="0" applyNumberFormat="1" applyFont="1" applyFill="1" applyBorder="1" applyAlignment="1">
      <alignment horizontal="center"/>
    </xf>
    <xf numFmtId="17" fontId="14" fillId="5" borderId="80" xfId="0" applyNumberFormat="1" applyFont="1" applyFill="1" applyBorder="1" applyAlignment="1">
      <alignment horizontal="center"/>
    </xf>
    <xf numFmtId="17" fontId="14" fillId="5" borderId="39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left" vertical="center"/>
    </xf>
  </cellXfs>
  <cellStyles count="15">
    <cellStyle name="Millares" xfId="1" builtinId="3"/>
    <cellStyle name="Moneda" xfId="2" builtinId="4"/>
    <cellStyle name="Moneda 2" xfId="7"/>
    <cellStyle name="Normal" xfId="0" builtinId="0"/>
    <cellStyle name="Normal 2" xfId="4"/>
    <cellStyle name="Normal 2 2" xfId="6"/>
    <cellStyle name="Normal 3" xfId="3"/>
    <cellStyle name="Normal 4" xfId="9"/>
    <cellStyle name="Normal 5" xfId="11"/>
    <cellStyle name="Normal 6" xfId="12"/>
    <cellStyle name="Normal 7" xfId="13"/>
    <cellStyle name="Normal_IPC MENSUAL 1982-2003" xfId="5"/>
    <cellStyle name="Porcentaje" xfId="14" builtinId="5"/>
    <cellStyle name="Porcentaje 2" xfId="8"/>
    <cellStyle name="Porcentaje 3" xfId="10"/>
  </cellStyles>
  <dxfs count="0"/>
  <tableStyles count="0" defaultTableStyle="TableStyleMedium2" defaultPivotStyle="PivotStyleLight16"/>
  <colors>
    <mruColors>
      <color rgb="FFCC66FF"/>
      <color rgb="FF99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ceresseguros-my.sharepoint.com/personal/antoniacaceres_caceres_com_do/Documents/Archivos%20Seguimiento/Control%20Gastos/2025/Control%20Gast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 Cambio"/>
      <sheetName val="Comparativos"/>
      <sheetName val="2024"/>
      <sheetName val="2025"/>
      <sheetName val="Gastos TC enero 2025"/>
      <sheetName val="Gastos TC febrero 2025"/>
      <sheetName val="Gastos TC marzo 2025"/>
      <sheetName val="Gastos TC abril 2025"/>
      <sheetName val="Gastos TC mayo 2025"/>
      <sheetName val="Gastos TC junio 2025"/>
      <sheetName val="Gastos TC julio 2025"/>
      <sheetName val="Gastos TC Agosto 2025"/>
      <sheetName val=" Gastos TC Septiembre 2025"/>
      <sheetName val=" Gastos TC Octubre 2025"/>
      <sheetName val=" Gastos TC Noviembre 2025"/>
      <sheetName val=" Gastos TC Diciembre 2025"/>
      <sheetName val="Gastos TC enero 2026"/>
      <sheetName val="Gastos TC enero 2026 (2)"/>
    </sheetNames>
    <sheetDataSet>
      <sheetData sheetId="0">
        <row r="6">
          <cell r="E6">
            <v>61.795400000000001</v>
          </cell>
        </row>
        <row r="7">
          <cell r="E7">
            <v>62.31</v>
          </cell>
        </row>
        <row r="8">
          <cell r="E8">
            <v>63.197100000000006</v>
          </cell>
        </row>
        <row r="9">
          <cell r="E9">
            <v>58.899749999999997</v>
          </cell>
        </row>
        <row r="10">
          <cell r="E10">
            <v>59.069599999999994</v>
          </cell>
        </row>
        <row r="11">
          <cell r="E11">
            <v>59.616500000000002</v>
          </cell>
        </row>
        <row r="12">
          <cell r="E12">
            <v>60.865549999999999</v>
          </cell>
        </row>
        <row r="13">
          <cell r="E13">
            <v>63.095349999999996</v>
          </cell>
        </row>
        <row r="14">
          <cell r="E14">
            <v>62.510149999999996</v>
          </cell>
        </row>
        <row r="15">
          <cell r="E15">
            <v>64.158600000000007</v>
          </cell>
        </row>
        <row r="16">
          <cell r="E16">
            <v>63.268450000000001</v>
          </cell>
        </row>
      </sheetData>
      <sheetData sheetId="1"/>
      <sheetData sheetId="2"/>
      <sheetData sheetId="3">
        <row r="4">
          <cell r="D4">
            <v>35248.92</v>
          </cell>
        </row>
        <row r="25">
          <cell r="D25">
            <v>50861.14</v>
          </cell>
        </row>
        <row r="46">
          <cell r="R46">
            <v>81728.37</v>
          </cell>
        </row>
      </sheetData>
      <sheetData sheetId="4">
        <row r="10">
          <cell r="C10">
            <v>72045.039999999994</v>
          </cell>
        </row>
        <row r="15">
          <cell r="C15">
            <v>5750.89</v>
          </cell>
        </row>
        <row r="23">
          <cell r="C23">
            <v>15000</v>
          </cell>
        </row>
        <row r="29">
          <cell r="C29">
            <v>595</v>
          </cell>
        </row>
        <row r="30">
          <cell r="C30">
            <v>5000</v>
          </cell>
        </row>
        <row r="34">
          <cell r="C34">
            <v>9637.9699999999993</v>
          </cell>
        </row>
        <row r="35">
          <cell r="C35">
            <v>1445</v>
          </cell>
        </row>
        <row r="39">
          <cell r="C39">
            <v>7707.79</v>
          </cell>
        </row>
        <row r="40">
          <cell r="C40">
            <v>24942.65</v>
          </cell>
        </row>
        <row r="76">
          <cell r="C76">
            <v>30200</v>
          </cell>
        </row>
        <row r="89">
          <cell r="D89">
            <v>48168.76</v>
          </cell>
        </row>
        <row r="90">
          <cell r="E90">
            <v>376444.09</v>
          </cell>
        </row>
        <row r="97">
          <cell r="C97">
            <v>11790</v>
          </cell>
        </row>
        <row r="98">
          <cell r="C98">
            <v>7.45</v>
          </cell>
        </row>
        <row r="108">
          <cell r="C108">
            <v>7794.6</v>
          </cell>
        </row>
        <row r="111">
          <cell r="D111">
            <v>0</v>
          </cell>
        </row>
        <row r="112">
          <cell r="E112">
            <v>62363.590000000011</v>
          </cell>
        </row>
        <row r="131">
          <cell r="C131">
            <v>926.23</v>
          </cell>
        </row>
        <row r="155">
          <cell r="C155">
            <v>1686.34</v>
          </cell>
        </row>
        <row r="159">
          <cell r="D159">
            <v>27916.28</v>
          </cell>
        </row>
        <row r="160">
          <cell r="D160">
            <v>22594.94</v>
          </cell>
        </row>
        <row r="177">
          <cell r="C177">
            <v>-3368.32</v>
          </cell>
        </row>
        <row r="250">
          <cell r="C250">
            <v>-7868.579999999999</v>
          </cell>
        </row>
      </sheetData>
      <sheetData sheetId="5">
        <row r="7">
          <cell r="C7">
            <v>2000</v>
          </cell>
        </row>
        <row r="18">
          <cell r="C18">
            <v>5750.89</v>
          </cell>
        </row>
        <row r="67">
          <cell r="D67">
            <v>28039.379999999997</v>
          </cell>
        </row>
        <row r="68">
          <cell r="E68">
            <v>177652.01</v>
          </cell>
        </row>
        <row r="74">
          <cell r="C74">
            <v>35248.92</v>
          </cell>
        </row>
        <row r="76">
          <cell r="C76">
            <v>25343.95</v>
          </cell>
        </row>
        <row r="79">
          <cell r="C79">
            <v>6155</v>
          </cell>
        </row>
        <row r="83">
          <cell r="C83">
            <v>10500</v>
          </cell>
        </row>
        <row r="85">
          <cell r="C85">
            <v>12970</v>
          </cell>
        </row>
        <row r="96">
          <cell r="C96">
            <v>7875.19</v>
          </cell>
        </row>
        <row r="97">
          <cell r="C97">
            <v>25517.19</v>
          </cell>
        </row>
        <row r="99">
          <cell r="D99">
            <v>0</v>
          </cell>
        </row>
        <row r="100">
          <cell r="E100">
            <v>170494.97</v>
          </cell>
        </row>
        <row r="124">
          <cell r="C124">
            <v>1686.34</v>
          </cell>
        </row>
        <row r="137">
          <cell r="D137">
            <v>56303.53</v>
          </cell>
        </row>
        <row r="138">
          <cell r="D138">
            <v>42351.32</v>
          </cell>
        </row>
        <row r="196">
          <cell r="C196">
            <v>-19151.170000000002</v>
          </cell>
        </row>
        <row r="320">
          <cell r="C320">
            <v>-21222.490000000005</v>
          </cell>
        </row>
      </sheetData>
      <sheetData sheetId="6">
        <row r="18">
          <cell r="C18">
            <v>5750.89</v>
          </cell>
        </row>
        <row r="44">
          <cell r="C44">
            <v>5000</v>
          </cell>
        </row>
        <row r="66">
          <cell r="C66">
            <v>5850</v>
          </cell>
        </row>
        <row r="76">
          <cell r="C76">
            <v>109676.8</v>
          </cell>
        </row>
        <row r="95">
          <cell r="D95">
            <v>46953.5</v>
          </cell>
        </row>
        <row r="96">
          <cell r="E96">
            <v>344750.28999999986</v>
          </cell>
        </row>
        <row r="103">
          <cell r="C103">
            <v>53502</v>
          </cell>
        </row>
        <row r="106">
          <cell r="C106">
            <v>12970</v>
          </cell>
        </row>
        <row r="108">
          <cell r="C108">
            <v>30885.63</v>
          </cell>
        </row>
        <row r="109">
          <cell r="C109">
            <v>30885.63</v>
          </cell>
        </row>
        <row r="110">
          <cell r="C110">
            <v>11507</v>
          </cell>
        </row>
        <row r="123">
          <cell r="C123">
            <v>186144.03</v>
          </cell>
          <cell r="D123">
            <v>9069.35</v>
          </cell>
        </row>
        <row r="163">
          <cell r="C163">
            <v>1686.34</v>
          </cell>
        </row>
        <row r="166">
          <cell r="D166">
            <v>37564.44</v>
          </cell>
        </row>
        <row r="167">
          <cell r="D167">
            <v>17333.300000000003</v>
          </cell>
        </row>
        <row r="197">
          <cell r="C197">
            <v>-3786.27</v>
          </cell>
        </row>
        <row r="253">
          <cell r="C253">
            <v>-5261.5499999999984</v>
          </cell>
        </row>
      </sheetData>
      <sheetData sheetId="7">
        <row r="13">
          <cell r="C13">
            <v>5750.89</v>
          </cell>
        </row>
        <row r="26">
          <cell r="C26">
            <v>1500</v>
          </cell>
        </row>
        <row r="30">
          <cell r="C30">
            <v>7600</v>
          </cell>
        </row>
        <row r="32">
          <cell r="C32">
            <v>72986.880000000005</v>
          </cell>
        </row>
        <row r="33">
          <cell r="C33">
            <v>5386.29</v>
          </cell>
        </row>
        <row r="37">
          <cell r="C37">
            <v>3728.65</v>
          </cell>
        </row>
        <row r="38">
          <cell r="C38">
            <v>425</v>
          </cell>
        </row>
        <row r="39">
          <cell r="C39">
            <v>910</v>
          </cell>
        </row>
        <row r="40">
          <cell r="C40">
            <v>605</v>
          </cell>
        </row>
        <row r="41">
          <cell r="C41">
            <v>3140.02</v>
          </cell>
        </row>
        <row r="42">
          <cell r="C42">
            <v>270</v>
          </cell>
        </row>
        <row r="43">
          <cell r="C43">
            <v>2090</v>
          </cell>
        </row>
        <row r="56">
          <cell r="C56">
            <v>3000</v>
          </cell>
        </row>
        <row r="57">
          <cell r="C57">
            <v>2000</v>
          </cell>
        </row>
        <row r="81">
          <cell r="D81">
            <v>56756.950000000004</v>
          </cell>
        </row>
        <row r="82">
          <cell r="E82">
            <v>286264.42</v>
          </cell>
        </row>
        <row r="87">
          <cell r="C87">
            <v>2650</v>
          </cell>
        </row>
        <row r="89">
          <cell r="C89">
            <v>12970</v>
          </cell>
        </row>
        <row r="91">
          <cell r="C91">
            <v>1515.36</v>
          </cell>
        </row>
        <row r="92">
          <cell r="C92">
            <v>12758.5</v>
          </cell>
        </row>
        <row r="114">
          <cell r="D114">
            <v>1287.8499999999999</v>
          </cell>
        </row>
        <row r="115">
          <cell r="E115">
            <v>122544.51</v>
          </cell>
        </row>
        <row r="143">
          <cell r="C143">
            <v>1686.34</v>
          </cell>
        </row>
        <row r="149">
          <cell r="D149">
            <v>42861.030000000006</v>
          </cell>
        </row>
        <row r="150">
          <cell r="D150">
            <v>34657.75</v>
          </cell>
        </row>
        <row r="177">
          <cell r="D177">
            <v>49907.76</v>
          </cell>
        </row>
        <row r="178">
          <cell r="D178">
            <v>35124.89</v>
          </cell>
        </row>
        <row r="200">
          <cell r="C200">
            <v>-8237.7099999999991</v>
          </cell>
        </row>
        <row r="244">
          <cell r="C244">
            <v>-22008.420000000002</v>
          </cell>
        </row>
        <row r="261">
          <cell r="C261">
            <v>-2891</v>
          </cell>
        </row>
        <row r="262">
          <cell r="C262">
            <v>-5021</v>
          </cell>
        </row>
        <row r="350">
          <cell r="C350">
            <v>-23723.090000000026</v>
          </cell>
        </row>
      </sheetData>
      <sheetData sheetId="8">
        <row r="5">
          <cell r="C5">
            <v>5750.89</v>
          </cell>
        </row>
        <row r="16">
          <cell r="C16">
            <v>9690</v>
          </cell>
        </row>
        <row r="19">
          <cell r="C19">
            <v>1135</v>
          </cell>
        </row>
        <row r="20">
          <cell r="C20">
            <v>1635</v>
          </cell>
        </row>
        <row r="34">
          <cell r="C34">
            <v>6700</v>
          </cell>
        </row>
        <row r="40">
          <cell r="C40">
            <v>12000</v>
          </cell>
        </row>
        <row r="67">
          <cell r="C67">
            <v>121285.52</v>
          </cell>
          <cell r="D67">
            <v>0</v>
          </cell>
        </row>
        <row r="77">
          <cell r="C77">
            <v>12970</v>
          </cell>
        </row>
        <row r="79">
          <cell r="C79">
            <v>31580.17</v>
          </cell>
        </row>
        <row r="96">
          <cell r="D96">
            <v>7478.13</v>
          </cell>
        </row>
        <row r="97">
          <cell r="E97">
            <v>117575.93000000001</v>
          </cell>
        </row>
        <row r="101">
          <cell r="C101">
            <v>800</v>
          </cell>
        </row>
        <row r="102">
          <cell r="C102">
            <v>800</v>
          </cell>
        </row>
        <row r="117">
          <cell r="C117">
            <v>1875.5</v>
          </cell>
        </row>
        <row r="119">
          <cell r="D119">
            <v>8303.4699999999993</v>
          </cell>
        </row>
        <row r="120">
          <cell r="D120">
            <v>1425.21</v>
          </cell>
        </row>
        <row r="136">
          <cell r="D136">
            <v>51175.159999999996</v>
          </cell>
        </row>
        <row r="137">
          <cell r="D137">
            <v>45108.26</v>
          </cell>
        </row>
        <row r="207">
          <cell r="C207">
            <v>-7824.5299999999988</v>
          </cell>
        </row>
        <row r="346">
          <cell r="C346">
            <v>-14996.460000000003</v>
          </cell>
        </row>
      </sheetData>
      <sheetData sheetId="9">
        <row r="10">
          <cell r="C10">
            <v>5750.89</v>
          </cell>
        </row>
        <row r="15">
          <cell r="C15">
            <v>13536.2</v>
          </cell>
        </row>
        <row r="27">
          <cell r="C27">
            <v>5000</v>
          </cell>
        </row>
        <row r="29">
          <cell r="C29">
            <v>5000</v>
          </cell>
        </row>
        <row r="34">
          <cell r="C34">
            <v>5000</v>
          </cell>
        </row>
        <row r="39">
          <cell r="C39">
            <v>5000</v>
          </cell>
        </row>
        <row r="41">
          <cell r="C41">
            <v>5339.78</v>
          </cell>
        </row>
        <row r="42">
          <cell r="C42">
            <v>4049</v>
          </cell>
        </row>
        <row r="47">
          <cell r="C47">
            <v>13772.4</v>
          </cell>
        </row>
        <row r="52">
          <cell r="C52">
            <v>11211</v>
          </cell>
        </row>
        <row r="63">
          <cell r="D63">
            <v>5583.8899999999994</v>
          </cell>
        </row>
        <row r="64">
          <cell r="E64">
            <v>127247.93000000002</v>
          </cell>
        </row>
        <row r="69">
          <cell r="C69">
            <v>12970</v>
          </cell>
        </row>
        <row r="74">
          <cell r="C74">
            <v>30849.55</v>
          </cell>
        </row>
        <row r="92">
          <cell r="D92">
            <v>0</v>
          </cell>
        </row>
        <row r="93">
          <cell r="E93">
            <v>109950.85000000002</v>
          </cell>
        </row>
        <row r="117">
          <cell r="C117">
            <v>1875.5</v>
          </cell>
        </row>
        <row r="118">
          <cell r="D118">
            <v>24952.42</v>
          </cell>
        </row>
        <row r="119">
          <cell r="D119">
            <v>9401.92</v>
          </cell>
        </row>
        <row r="157">
          <cell r="D157">
            <v>120840.18</v>
          </cell>
        </row>
        <row r="158">
          <cell r="D158">
            <v>91945.66</v>
          </cell>
        </row>
        <row r="170">
          <cell r="C170">
            <v>-3551</v>
          </cell>
        </row>
        <row r="171">
          <cell r="C171">
            <v>-5021</v>
          </cell>
        </row>
        <row r="217">
          <cell r="C217">
            <v>-15241.499999999995</v>
          </cell>
        </row>
        <row r="228">
          <cell r="C228">
            <v>-1349.77</v>
          </cell>
        </row>
        <row r="292">
          <cell r="C292">
            <v>-5928.5899999999974</v>
          </cell>
        </row>
      </sheetData>
      <sheetData sheetId="10">
        <row r="13">
          <cell r="C13">
            <v>5750.89</v>
          </cell>
        </row>
        <row r="16">
          <cell r="C16">
            <v>2745</v>
          </cell>
        </row>
        <row r="18">
          <cell r="C18">
            <v>3800</v>
          </cell>
        </row>
        <row r="49">
          <cell r="C49">
            <v>12281.5</v>
          </cell>
        </row>
        <row r="60">
          <cell r="D60">
            <v>6440.7</v>
          </cell>
        </row>
        <row r="61">
          <cell r="E61">
            <v>159791.49000000005</v>
          </cell>
        </row>
        <row r="75">
          <cell r="C75">
            <v>31138.19</v>
          </cell>
        </row>
        <row r="76">
          <cell r="C76">
            <v>12970</v>
          </cell>
        </row>
        <row r="100">
          <cell r="D100">
            <v>0</v>
          </cell>
        </row>
        <row r="101">
          <cell r="E101">
            <v>188177.56000000003</v>
          </cell>
        </row>
        <row r="115">
          <cell r="C115">
            <v>1875.5</v>
          </cell>
        </row>
        <row r="121">
          <cell r="D121">
            <v>10957.34</v>
          </cell>
        </row>
        <row r="122">
          <cell r="D122">
            <v>2678.44</v>
          </cell>
        </row>
        <row r="147">
          <cell r="D147">
            <v>43401.700000000012</v>
          </cell>
        </row>
        <row r="148">
          <cell r="D148">
            <v>31635.100000000002</v>
          </cell>
        </row>
        <row r="178">
          <cell r="C178">
            <v>-8912.99</v>
          </cell>
        </row>
        <row r="238">
          <cell r="C238">
            <v>-1191.5199999999986</v>
          </cell>
        </row>
      </sheetData>
      <sheetData sheetId="11">
        <row r="5">
          <cell r="C5">
            <v>4785.0200000000004</v>
          </cell>
        </row>
        <row r="12">
          <cell r="C12">
            <v>5750.89</v>
          </cell>
        </row>
        <row r="44">
          <cell r="C44">
            <v>11238.7</v>
          </cell>
        </row>
        <row r="46">
          <cell r="C46">
            <v>1600.08</v>
          </cell>
        </row>
        <row r="47">
          <cell r="C47">
            <v>1300</v>
          </cell>
        </row>
        <row r="50">
          <cell r="C50">
            <v>1984</v>
          </cell>
        </row>
        <row r="51">
          <cell r="C51">
            <v>2986.26</v>
          </cell>
        </row>
        <row r="54">
          <cell r="C54">
            <v>1168.2</v>
          </cell>
        </row>
        <row r="56">
          <cell r="C56">
            <v>10736</v>
          </cell>
        </row>
        <row r="57">
          <cell r="C57">
            <v>4350.0200000000004</v>
          </cell>
        </row>
        <row r="59">
          <cell r="D59">
            <v>0</v>
          </cell>
        </row>
        <row r="60">
          <cell r="E60">
            <v>124765.63999999998</v>
          </cell>
        </row>
        <row r="65">
          <cell r="C65">
            <v>116</v>
          </cell>
        </row>
        <row r="73">
          <cell r="C73">
            <v>34511.67</v>
          </cell>
        </row>
        <row r="76">
          <cell r="C76">
            <v>12970</v>
          </cell>
        </row>
        <row r="77">
          <cell r="C77">
            <v>6000</v>
          </cell>
        </row>
        <row r="80">
          <cell r="C80">
            <v>2650.98</v>
          </cell>
        </row>
        <row r="93">
          <cell r="D93">
            <v>0</v>
          </cell>
        </row>
        <row r="94">
          <cell r="E94">
            <v>88623.26</v>
          </cell>
        </row>
        <row r="103">
          <cell r="C103">
            <v>814.46</v>
          </cell>
        </row>
        <row r="112">
          <cell r="C112">
            <v>1125.4000000000001</v>
          </cell>
          <cell r="D112">
            <v>0</v>
          </cell>
        </row>
        <row r="123">
          <cell r="C123">
            <v>1875.5</v>
          </cell>
        </row>
        <row r="125">
          <cell r="D125">
            <v>14284.33</v>
          </cell>
        </row>
        <row r="126">
          <cell r="D126">
            <v>763</v>
          </cell>
        </row>
        <row r="133">
          <cell r="C133">
            <v>339</v>
          </cell>
        </row>
        <row r="151">
          <cell r="D151">
            <v>51056.56</v>
          </cell>
        </row>
        <row r="152">
          <cell r="D152">
            <v>21739.57</v>
          </cell>
        </row>
        <row r="220">
          <cell r="C220">
            <v>-23215.010000000013</v>
          </cell>
        </row>
        <row r="235">
          <cell r="C235">
            <v>-3871.26</v>
          </cell>
        </row>
        <row r="343">
          <cell r="C343">
            <v>-22710.010000000009</v>
          </cell>
        </row>
        <row r="344">
          <cell r="C344">
            <v>-760</v>
          </cell>
        </row>
      </sheetData>
      <sheetData sheetId="12">
        <row r="4">
          <cell r="C4">
            <v>17061.03</v>
          </cell>
        </row>
        <row r="7">
          <cell r="C7">
            <v>5750.89</v>
          </cell>
        </row>
        <row r="37">
          <cell r="C37">
            <v>3745</v>
          </cell>
        </row>
        <row r="38">
          <cell r="C38">
            <v>849.6</v>
          </cell>
        </row>
        <row r="39">
          <cell r="C39">
            <v>7289.97</v>
          </cell>
        </row>
        <row r="40">
          <cell r="C40">
            <v>6120.01</v>
          </cell>
        </row>
        <row r="41">
          <cell r="C41">
            <v>9366.3700000000008</v>
          </cell>
        </row>
        <row r="43">
          <cell r="C43">
            <v>13450.6</v>
          </cell>
        </row>
        <row r="47">
          <cell r="C47">
            <v>4700</v>
          </cell>
        </row>
        <row r="50">
          <cell r="C50">
            <v>1700</v>
          </cell>
        </row>
        <row r="52">
          <cell r="C52">
            <v>3000</v>
          </cell>
        </row>
        <row r="53">
          <cell r="C53">
            <v>1350</v>
          </cell>
        </row>
        <row r="54">
          <cell r="C54">
            <v>460</v>
          </cell>
        </row>
        <row r="55">
          <cell r="C55">
            <v>10469.280000000001</v>
          </cell>
        </row>
        <row r="56">
          <cell r="C56">
            <v>2850</v>
          </cell>
        </row>
        <row r="57">
          <cell r="C57">
            <v>1858</v>
          </cell>
        </row>
        <row r="59">
          <cell r="C59">
            <v>14042.02</v>
          </cell>
        </row>
        <row r="60">
          <cell r="C60">
            <v>4335.7</v>
          </cell>
        </row>
        <row r="61">
          <cell r="C61">
            <v>60255</v>
          </cell>
        </row>
        <row r="63">
          <cell r="E63">
            <v>232081.79</v>
          </cell>
        </row>
        <row r="75">
          <cell r="C75">
            <v>12970</v>
          </cell>
        </row>
        <row r="76">
          <cell r="C76">
            <v>29870.27</v>
          </cell>
        </row>
        <row r="77">
          <cell r="C77">
            <v>310</v>
          </cell>
        </row>
        <row r="80">
          <cell r="C80">
            <v>42568.15</v>
          </cell>
        </row>
        <row r="82">
          <cell r="C82">
            <v>10447.19</v>
          </cell>
        </row>
        <row r="84">
          <cell r="C84">
            <v>14513.95</v>
          </cell>
        </row>
        <row r="86">
          <cell r="C86">
            <v>31339.040000000001</v>
          </cell>
        </row>
        <row r="89">
          <cell r="C89">
            <v>45600</v>
          </cell>
        </row>
        <row r="95">
          <cell r="D95">
            <v>11712.900000000001</v>
          </cell>
        </row>
        <row r="96">
          <cell r="E96">
            <v>244876.25</v>
          </cell>
        </row>
        <row r="107">
          <cell r="C107">
            <v>1875.5</v>
          </cell>
        </row>
        <row r="110">
          <cell r="D110">
            <v>10538.42</v>
          </cell>
        </row>
        <row r="111">
          <cell r="D111">
            <v>2749</v>
          </cell>
        </row>
        <row r="117">
          <cell r="C117">
            <v>13350</v>
          </cell>
        </row>
        <row r="119">
          <cell r="C119">
            <v>4854.17</v>
          </cell>
        </row>
        <row r="120">
          <cell r="C120">
            <v>1950</v>
          </cell>
        </row>
        <row r="136">
          <cell r="C136">
            <v>6000</v>
          </cell>
        </row>
        <row r="144">
          <cell r="D144">
            <v>89660.849999999991</v>
          </cell>
        </row>
        <row r="145">
          <cell r="D145">
            <v>53043.740000000005</v>
          </cell>
        </row>
        <row r="199">
          <cell r="C199">
            <v>-2119.1999999999998</v>
          </cell>
        </row>
        <row r="203">
          <cell r="C203">
            <v>-250</v>
          </cell>
        </row>
        <row r="211">
          <cell r="C211">
            <v>-310.63</v>
          </cell>
        </row>
        <row r="213">
          <cell r="C213">
            <v>-6650.5599999999995</v>
          </cell>
        </row>
        <row r="299">
          <cell r="C299">
            <v>-803.58</v>
          </cell>
        </row>
        <row r="302">
          <cell r="C302">
            <v>-760</v>
          </cell>
        </row>
        <row r="305">
          <cell r="C305">
            <v>-533.94000000000005</v>
          </cell>
        </row>
        <row r="325">
          <cell r="C325">
            <v>-36.99</v>
          </cell>
        </row>
        <row r="331">
          <cell r="C331">
            <v>-52.49</v>
          </cell>
        </row>
        <row r="335">
          <cell r="C335">
            <v>-13646.699999999995</v>
          </cell>
        </row>
      </sheetData>
      <sheetData sheetId="13">
        <row r="5">
          <cell r="C5">
            <v>14500</v>
          </cell>
        </row>
        <row r="13">
          <cell r="C13">
            <v>101990</v>
          </cell>
        </row>
        <row r="14">
          <cell r="C14">
            <v>5728.05</v>
          </cell>
        </row>
        <row r="16">
          <cell r="C16">
            <v>400000</v>
          </cell>
        </row>
        <row r="17">
          <cell r="C17">
            <v>37993.919999999998</v>
          </cell>
        </row>
        <row r="30">
          <cell r="C30">
            <v>59315.26</v>
          </cell>
        </row>
        <row r="51">
          <cell r="C51">
            <v>5000</v>
          </cell>
        </row>
        <row r="55">
          <cell r="C55">
            <v>1950</v>
          </cell>
        </row>
        <row r="56">
          <cell r="C56">
            <v>17085</v>
          </cell>
        </row>
        <row r="69">
          <cell r="C69">
            <v>11821.5</v>
          </cell>
        </row>
        <row r="79">
          <cell r="C79">
            <v>32985</v>
          </cell>
        </row>
        <row r="82">
          <cell r="C82">
            <v>4350.0200000000004</v>
          </cell>
        </row>
        <row r="86">
          <cell r="C86">
            <v>130636.62</v>
          </cell>
        </row>
        <row r="87">
          <cell r="D87">
            <v>904.8</v>
          </cell>
        </row>
        <row r="88">
          <cell r="E88">
            <v>997872.1730000003</v>
          </cell>
        </row>
        <row r="91">
          <cell r="C91">
            <v>12970</v>
          </cell>
        </row>
        <row r="92">
          <cell r="C92">
            <v>18585</v>
          </cell>
        </row>
        <row r="95">
          <cell r="C95">
            <v>75301.649999999994</v>
          </cell>
        </row>
        <row r="96">
          <cell r="C96">
            <v>44780</v>
          </cell>
        </row>
        <row r="98">
          <cell r="C98">
            <v>10000</v>
          </cell>
        </row>
        <row r="99">
          <cell r="C99">
            <v>27278.45</v>
          </cell>
        </row>
        <row r="103">
          <cell r="C103">
            <v>10851.57</v>
          </cell>
        </row>
        <row r="105">
          <cell r="C105">
            <v>10130</v>
          </cell>
        </row>
        <row r="106">
          <cell r="C106">
            <v>9590</v>
          </cell>
        </row>
        <row r="107">
          <cell r="C107">
            <v>695629.9</v>
          </cell>
        </row>
        <row r="111">
          <cell r="C111">
            <v>25207</v>
          </cell>
        </row>
        <row r="115">
          <cell r="C115">
            <v>26154.77</v>
          </cell>
        </row>
        <row r="124">
          <cell r="C124">
            <v>12600</v>
          </cell>
        </row>
        <row r="126">
          <cell r="C126">
            <v>4888.5</v>
          </cell>
        </row>
        <row r="129">
          <cell r="D129">
            <v>5217.4500000000007</v>
          </cell>
        </row>
        <row r="130">
          <cell r="E130">
            <v>1058597.93</v>
          </cell>
        </row>
        <row r="146">
          <cell r="C146">
            <v>1875.5</v>
          </cell>
        </row>
        <row r="149">
          <cell r="D149">
            <v>20591.400000000001</v>
          </cell>
        </row>
        <row r="150">
          <cell r="D150">
            <v>8891.91</v>
          </cell>
        </row>
        <row r="163">
          <cell r="C163">
            <v>2750</v>
          </cell>
        </row>
        <row r="164">
          <cell r="C164">
            <v>930</v>
          </cell>
        </row>
        <row r="167">
          <cell r="C167">
            <v>236</v>
          </cell>
        </row>
        <row r="174">
          <cell r="D174">
            <v>64447.41</v>
          </cell>
        </row>
        <row r="175">
          <cell r="D175">
            <v>53587.13</v>
          </cell>
        </row>
        <row r="183">
          <cell r="C183">
            <v>-82.56</v>
          </cell>
        </row>
        <row r="195">
          <cell r="C195">
            <v>-1234.06</v>
          </cell>
        </row>
        <row r="209">
          <cell r="C209">
            <v>-93.73</v>
          </cell>
        </row>
        <row r="214">
          <cell r="C214">
            <v>-21.99</v>
          </cell>
        </row>
        <row r="215">
          <cell r="C215">
            <v>-175.9</v>
          </cell>
        </row>
        <row r="217">
          <cell r="C217">
            <v>-69.45</v>
          </cell>
        </row>
        <row r="218">
          <cell r="C218">
            <v>-49.99</v>
          </cell>
        </row>
        <row r="230">
          <cell r="C230">
            <v>-43.98</v>
          </cell>
        </row>
        <row r="231">
          <cell r="C231">
            <v>-11.99</v>
          </cell>
        </row>
        <row r="255">
          <cell r="C255">
            <v>-12741.820000000003</v>
          </cell>
        </row>
        <row r="256">
          <cell r="C256">
            <v>-1281.08</v>
          </cell>
        </row>
      </sheetData>
      <sheetData sheetId="14">
        <row r="5">
          <cell r="C5">
            <v>5000</v>
          </cell>
        </row>
        <row r="6">
          <cell r="C6">
            <v>3000</v>
          </cell>
        </row>
        <row r="10">
          <cell r="C10">
            <v>8962</v>
          </cell>
        </row>
        <row r="15">
          <cell r="C15">
            <v>5750.89</v>
          </cell>
        </row>
        <row r="21">
          <cell r="C21">
            <v>4135</v>
          </cell>
        </row>
        <row r="25">
          <cell r="C25">
            <v>40</v>
          </cell>
        </row>
        <row r="30">
          <cell r="C30">
            <v>56.27</v>
          </cell>
        </row>
        <row r="32">
          <cell r="C32">
            <v>2320</v>
          </cell>
        </row>
        <row r="37">
          <cell r="C37">
            <v>3880</v>
          </cell>
        </row>
        <row r="48">
          <cell r="C48">
            <v>529037.53</v>
          </cell>
        </row>
        <row r="49">
          <cell r="C49">
            <v>82704.55</v>
          </cell>
        </row>
        <row r="51">
          <cell r="C51">
            <v>8073.95</v>
          </cell>
        </row>
        <row r="59">
          <cell r="C59">
            <v>313326.65000000002</v>
          </cell>
        </row>
        <row r="66">
          <cell r="C66">
            <v>287560.28999999998</v>
          </cell>
        </row>
        <row r="68">
          <cell r="C68">
            <v>5000</v>
          </cell>
        </row>
        <row r="69">
          <cell r="C69">
            <v>11729</v>
          </cell>
        </row>
        <row r="73">
          <cell r="C73">
            <v>1750</v>
          </cell>
        </row>
        <row r="79">
          <cell r="C79">
            <v>4350</v>
          </cell>
        </row>
        <row r="81">
          <cell r="D81">
            <v>5135.1000000000004</v>
          </cell>
        </row>
        <row r="82">
          <cell r="E82">
            <v>1458821.97</v>
          </cell>
        </row>
        <row r="87">
          <cell r="C87">
            <v>34.979999999999997</v>
          </cell>
        </row>
        <row r="97">
          <cell r="C97">
            <v>36047.86</v>
          </cell>
        </row>
        <row r="100">
          <cell r="C100">
            <v>12970</v>
          </cell>
        </row>
        <row r="102">
          <cell r="C102">
            <v>10713.97</v>
          </cell>
        </row>
        <row r="110">
          <cell r="C110">
            <v>43275.66</v>
          </cell>
        </row>
        <row r="132">
          <cell r="C132">
            <v>1500</v>
          </cell>
        </row>
        <row r="133">
          <cell r="C133">
            <v>6700</v>
          </cell>
        </row>
        <row r="134">
          <cell r="C134">
            <v>10500</v>
          </cell>
        </row>
        <row r="136">
          <cell r="C136">
            <v>2000</v>
          </cell>
        </row>
        <row r="138">
          <cell r="D138">
            <v>1154.8</v>
          </cell>
        </row>
        <row r="139">
          <cell r="E139">
            <v>267789.7</v>
          </cell>
        </row>
        <row r="148">
          <cell r="C148">
            <v>1875.5</v>
          </cell>
        </row>
        <row r="152">
          <cell r="D152">
            <v>6610.9800000000005</v>
          </cell>
        </row>
        <row r="153">
          <cell r="D153">
            <v>1965.48</v>
          </cell>
        </row>
        <row r="180">
          <cell r="C180">
            <v>8142</v>
          </cell>
        </row>
        <row r="184">
          <cell r="C184">
            <v>12980</v>
          </cell>
        </row>
        <row r="187">
          <cell r="D187">
            <v>113645.1</v>
          </cell>
        </row>
        <row r="188">
          <cell r="D188">
            <v>69878.25</v>
          </cell>
        </row>
        <row r="223">
          <cell r="C223">
            <v>-13812.5</v>
          </cell>
        </row>
        <row r="229">
          <cell r="C229">
            <v>22690.7</v>
          </cell>
        </row>
        <row r="303">
          <cell r="C303">
            <v>-6483.819999999997</v>
          </cell>
        </row>
        <row r="304">
          <cell r="C304">
            <v>-1451.16</v>
          </cell>
        </row>
      </sheetData>
      <sheetData sheetId="15">
        <row r="8">
          <cell r="C8">
            <v>5750.89</v>
          </cell>
        </row>
        <row r="48">
          <cell r="C48">
            <v>38745</v>
          </cell>
        </row>
        <row r="72">
          <cell r="C72">
            <v>4353.2700000000004</v>
          </cell>
        </row>
        <row r="75">
          <cell r="D75">
            <v>5812.2800000000007</v>
          </cell>
        </row>
        <row r="76">
          <cell r="E76">
            <v>174119.75</v>
          </cell>
        </row>
        <row r="82">
          <cell r="C82">
            <v>67.52</v>
          </cell>
        </row>
        <row r="89">
          <cell r="C89">
            <v>250</v>
          </cell>
        </row>
        <row r="95">
          <cell r="C95">
            <v>18900</v>
          </cell>
        </row>
        <row r="98">
          <cell r="C98">
            <v>4500</v>
          </cell>
        </row>
        <row r="99">
          <cell r="C99">
            <v>36751.42</v>
          </cell>
        </row>
        <row r="107">
          <cell r="C107">
            <v>2000</v>
          </cell>
        </row>
        <row r="108">
          <cell r="C108">
            <v>5000</v>
          </cell>
        </row>
        <row r="109">
          <cell r="C109">
            <v>3000</v>
          </cell>
        </row>
        <row r="112">
          <cell r="C112">
            <v>12970</v>
          </cell>
        </row>
        <row r="113">
          <cell r="C113">
            <v>10941.24</v>
          </cell>
        </row>
        <row r="115">
          <cell r="C115">
            <v>26601.119999999999</v>
          </cell>
        </row>
        <row r="116">
          <cell r="C116">
            <v>11951</v>
          </cell>
        </row>
        <row r="129">
          <cell r="C129">
            <v>44178.82</v>
          </cell>
        </row>
        <row r="130">
          <cell r="C130">
            <v>38340</v>
          </cell>
        </row>
        <row r="131">
          <cell r="C131">
            <v>19170</v>
          </cell>
        </row>
        <row r="142">
          <cell r="C142">
            <v>8000</v>
          </cell>
        </row>
        <row r="150">
          <cell r="C150">
            <v>5000</v>
          </cell>
        </row>
        <row r="151">
          <cell r="C151">
            <v>8000</v>
          </cell>
        </row>
        <row r="153">
          <cell r="D153">
            <v>1101.75</v>
          </cell>
        </row>
        <row r="154">
          <cell r="E154">
            <v>476564.79999999993</v>
          </cell>
        </row>
        <row r="174">
          <cell r="D174">
            <v>10169.73</v>
          </cell>
        </row>
        <row r="175">
          <cell r="D175">
            <v>490.65</v>
          </cell>
        </row>
        <row r="186">
          <cell r="C186">
            <v>5850</v>
          </cell>
        </row>
        <row r="203">
          <cell r="C203">
            <v>5033.3999999999996</v>
          </cell>
        </row>
        <row r="208">
          <cell r="D208">
            <v>82557.55</v>
          </cell>
        </row>
        <row r="209">
          <cell r="D209">
            <v>52626.89</v>
          </cell>
        </row>
        <row r="240">
          <cell r="C240">
            <v>-815.94</v>
          </cell>
        </row>
        <row r="249">
          <cell r="C249">
            <v>-2906.96</v>
          </cell>
        </row>
        <row r="258">
          <cell r="C258">
            <v>-2675.86</v>
          </cell>
        </row>
        <row r="272">
          <cell r="C272">
            <v>-262.94</v>
          </cell>
        </row>
        <row r="282">
          <cell r="C282">
            <v>15248.649999999998</v>
          </cell>
        </row>
        <row r="396">
          <cell r="C396">
            <v>14237.489999999996</v>
          </cell>
        </row>
        <row r="397">
          <cell r="C397">
            <v>1505.14</v>
          </cell>
        </row>
      </sheetData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zoomScale="120" zoomScaleNormal="120" workbookViewId="0">
      <selection activeCell="D6" sqref="D6"/>
    </sheetView>
  </sheetViews>
  <sheetFormatPr baseColWidth="10" defaultColWidth="11.42578125" defaultRowHeight="15"/>
  <cols>
    <col min="1" max="2" width="7.42578125" customWidth="1"/>
    <col min="3" max="3" width="10.42578125" customWidth="1"/>
    <col min="5" max="5" width="12.42578125" customWidth="1"/>
    <col min="8" max="8" width="34.7109375" bestFit="1" customWidth="1"/>
    <col min="258" max="258" width="7.42578125" customWidth="1"/>
    <col min="260" max="260" width="12.42578125" customWidth="1"/>
    <col min="261" max="261" width="11.42578125" customWidth="1"/>
    <col min="514" max="514" width="7.42578125" customWidth="1"/>
    <col min="516" max="516" width="12.42578125" customWidth="1"/>
    <col min="517" max="517" width="11.42578125" customWidth="1"/>
    <col min="770" max="770" width="7.42578125" customWidth="1"/>
    <col min="772" max="772" width="12.42578125" customWidth="1"/>
    <col min="773" max="773" width="11.42578125" customWidth="1"/>
    <col min="1026" max="1026" width="7.42578125" customWidth="1"/>
    <col min="1028" max="1028" width="12.42578125" customWidth="1"/>
    <col min="1029" max="1029" width="11.42578125" customWidth="1"/>
    <col min="1282" max="1282" width="7.42578125" customWidth="1"/>
    <col min="1284" max="1284" width="12.42578125" customWidth="1"/>
    <col min="1285" max="1285" width="11.42578125" customWidth="1"/>
    <col min="1538" max="1538" width="7.42578125" customWidth="1"/>
    <col min="1540" max="1540" width="12.42578125" customWidth="1"/>
    <col min="1541" max="1541" width="11.42578125" customWidth="1"/>
    <col min="1794" max="1794" width="7.42578125" customWidth="1"/>
    <col min="1796" max="1796" width="12.42578125" customWidth="1"/>
    <col min="1797" max="1797" width="11.42578125" customWidth="1"/>
    <col min="2050" max="2050" width="7.42578125" customWidth="1"/>
    <col min="2052" max="2052" width="12.42578125" customWidth="1"/>
    <col min="2053" max="2053" width="11.42578125" customWidth="1"/>
    <col min="2306" max="2306" width="7.42578125" customWidth="1"/>
    <col min="2308" max="2308" width="12.42578125" customWidth="1"/>
    <col min="2309" max="2309" width="11.42578125" customWidth="1"/>
    <col min="2562" max="2562" width="7.42578125" customWidth="1"/>
    <col min="2564" max="2564" width="12.42578125" customWidth="1"/>
    <col min="2565" max="2565" width="11.42578125" customWidth="1"/>
    <col min="2818" max="2818" width="7.42578125" customWidth="1"/>
    <col min="2820" max="2820" width="12.42578125" customWidth="1"/>
    <col min="2821" max="2821" width="11.42578125" customWidth="1"/>
    <col min="3074" max="3074" width="7.42578125" customWidth="1"/>
    <col min="3076" max="3076" width="12.42578125" customWidth="1"/>
    <col min="3077" max="3077" width="11.42578125" customWidth="1"/>
    <col min="3330" max="3330" width="7.42578125" customWidth="1"/>
    <col min="3332" max="3332" width="12.42578125" customWidth="1"/>
    <col min="3333" max="3333" width="11.42578125" customWidth="1"/>
    <col min="3586" max="3586" width="7.42578125" customWidth="1"/>
    <col min="3588" max="3588" width="12.42578125" customWidth="1"/>
    <col min="3589" max="3589" width="11.42578125" customWidth="1"/>
    <col min="3842" max="3842" width="7.42578125" customWidth="1"/>
    <col min="3844" max="3844" width="12.42578125" customWidth="1"/>
    <col min="3845" max="3845" width="11.42578125" customWidth="1"/>
    <col min="4098" max="4098" width="7.42578125" customWidth="1"/>
    <col min="4100" max="4100" width="12.42578125" customWidth="1"/>
    <col min="4101" max="4101" width="11.42578125" customWidth="1"/>
    <col min="4354" max="4354" width="7.42578125" customWidth="1"/>
    <col min="4356" max="4356" width="12.42578125" customWidth="1"/>
    <col min="4357" max="4357" width="11.42578125" customWidth="1"/>
    <col min="4610" max="4610" width="7.42578125" customWidth="1"/>
    <col min="4612" max="4612" width="12.42578125" customWidth="1"/>
    <col min="4613" max="4613" width="11.42578125" customWidth="1"/>
    <col min="4866" max="4866" width="7.42578125" customWidth="1"/>
    <col min="4868" max="4868" width="12.42578125" customWidth="1"/>
    <col min="4869" max="4869" width="11.42578125" customWidth="1"/>
    <col min="5122" max="5122" width="7.42578125" customWidth="1"/>
    <col min="5124" max="5124" width="12.42578125" customWidth="1"/>
    <col min="5125" max="5125" width="11.42578125" customWidth="1"/>
    <col min="5378" max="5378" width="7.42578125" customWidth="1"/>
    <col min="5380" max="5380" width="12.42578125" customWidth="1"/>
    <col min="5381" max="5381" width="11.42578125" customWidth="1"/>
    <col min="5634" max="5634" width="7.42578125" customWidth="1"/>
    <col min="5636" max="5636" width="12.42578125" customWidth="1"/>
    <col min="5637" max="5637" width="11.42578125" customWidth="1"/>
    <col min="5890" max="5890" width="7.42578125" customWidth="1"/>
    <col min="5892" max="5892" width="12.42578125" customWidth="1"/>
    <col min="5893" max="5893" width="11.42578125" customWidth="1"/>
    <col min="6146" max="6146" width="7.42578125" customWidth="1"/>
    <col min="6148" max="6148" width="12.42578125" customWidth="1"/>
    <col min="6149" max="6149" width="11.42578125" customWidth="1"/>
    <col min="6402" max="6402" width="7.42578125" customWidth="1"/>
    <col min="6404" max="6404" width="12.42578125" customWidth="1"/>
    <col min="6405" max="6405" width="11.42578125" customWidth="1"/>
    <col min="6658" max="6658" width="7.42578125" customWidth="1"/>
    <col min="6660" max="6660" width="12.42578125" customWidth="1"/>
    <col min="6661" max="6661" width="11.42578125" customWidth="1"/>
    <col min="6914" max="6914" width="7.42578125" customWidth="1"/>
    <col min="6916" max="6916" width="12.42578125" customWidth="1"/>
    <col min="6917" max="6917" width="11.42578125" customWidth="1"/>
    <col min="7170" max="7170" width="7.42578125" customWidth="1"/>
    <col min="7172" max="7172" width="12.42578125" customWidth="1"/>
    <col min="7173" max="7173" width="11.42578125" customWidth="1"/>
    <col min="7426" max="7426" width="7.42578125" customWidth="1"/>
    <col min="7428" max="7428" width="12.42578125" customWidth="1"/>
    <col min="7429" max="7429" width="11.42578125" customWidth="1"/>
    <col min="7682" max="7682" width="7.42578125" customWidth="1"/>
    <col min="7684" max="7684" width="12.42578125" customWidth="1"/>
    <col min="7685" max="7685" width="11.42578125" customWidth="1"/>
    <col min="7938" max="7938" width="7.42578125" customWidth="1"/>
    <col min="7940" max="7940" width="12.42578125" customWidth="1"/>
    <col min="7941" max="7941" width="11.42578125" customWidth="1"/>
    <col min="8194" max="8194" width="7.42578125" customWidth="1"/>
    <col min="8196" max="8196" width="12.42578125" customWidth="1"/>
    <col min="8197" max="8197" width="11.42578125" customWidth="1"/>
    <col min="8450" max="8450" width="7.42578125" customWidth="1"/>
    <col min="8452" max="8452" width="12.42578125" customWidth="1"/>
    <col min="8453" max="8453" width="11.42578125" customWidth="1"/>
    <col min="8706" max="8706" width="7.42578125" customWidth="1"/>
    <col min="8708" max="8708" width="12.42578125" customWidth="1"/>
    <col min="8709" max="8709" width="11.42578125" customWidth="1"/>
    <col min="8962" max="8962" width="7.42578125" customWidth="1"/>
    <col min="8964" max="8964" width="12.42578125" customWidth="1"/>
    <col min="8965" max="8965" width="11.42578125" customWidth="1"/>
    <col min="9218" max="9218" width="7.42578125" customWidth="1"/>
    <col min="9220" max="9220" width="12.42578125" customWidth="1"/>
    <col min="9221" max="9221" width="11.42578125" customWidth="1"/>
    <col min="9474" max="9474" width="7.42578125" customWidth="1"/>
    <col min="9476" max="9476" width="12.42578125" customWidth="1"/>
    <col min="9477" max="9477" width="11.42578125" customWidth="1"/>
    <col min="9730" max="9730" width="7.42578125" customWidth="1"/>
    <col min="9732" max="9732" width="12.42578125" customWidth="1"/>
    <col min="9733" max="9733" width="11.42578125" customWidth="1"/>
    <col min="9986" max="9986" width="7.42578125" customWidth="1"/>
    <col min="9988" max="9988" width="12.42578125" customWidth="1"/>
    <col min="9989" max="9989" width="11.42578125" customWidth="1"/>
    <col min="10242" max="10242" width="7.42578125" customWidth="1"/>
    <col min="10244" max="10244" width="12.42578125" customWidth="1"/>
    <col min="10245" max="10245" width="11.42578125" customWidth="1"/>
    <col min="10498" max="10498" width="7.42578125" customWidth="1"/>
    <col min="10500" max="10500" width="12.42578125" customWidth="1"/>
    <col min="10501" max="10501" width="11.42578125" customWidth="1"/>
    <col min="10754" max="10754" width="7.42578125" customWidth="1"/>
    <col min="10756" max="10756" width="12.42578125" customWidth="1"/>
    <col min="10757" max="10757" width="11.42578125" customWidth="1"/>
    <col min="11010" max="11010" width="7.42578125" customWidth="1"/>
    <col min="11012" max="11012" width="12.42578125" customWidth="1"/>
    <col min="11013" max="11013" width="11.42578125" customWidth="1"/>
    <col min="11266" max="11266" width="7.42578125" customWidth="1"/>
    <col min="11268" max="11268" width="12.42578125" customWidth="1"/>
    <col min="11269" max="11269" width="11.42578125" customWidth="1"/>
    <col min="11522" max="11522" width="7.42578125" customWidth="1"/>
    <col min="11524" max="11524" width="12.42578125" customWidth="1"/>
    <col min="11525" max="11525" width="11.42578125" customWidth="1"/>
    <col min="11778" max="11778" width="7.42578125" customWidth="1"/>
    <col min="11780" max="11780" width="12.42578125" customWidth="1"/>
    <col min="11781" max="11781" width="11.42578125" customWidth="1"/>
    <col min="12034" max="12034" width="7.42578125" customWidth="1"/>
    <col min="12036" max="12036" width="12.42578125" customWidth="1"/>
    <col min="12037" max="12037" width="11.42578125" customWidth="1"/>
    <col min="12290" max="12290" width="7.42578125" customWidth="1"/>
    <col min="12292" max="12292" width="12.42578125" customWidth="1"/>
    <col min="12293" max="12293" width="11.42578125" customWidth="1"/>
    <col min="12546" max="12546" width="7.42578125" customWidth="1"/>
    <col min="12548" max="12548" width="12.42578125" customWidth="1"/>
    <col min="12549" max="12549" width="11.42578125" customWidth="1"/>
    <col min="12802" max="12802" width="7.42578125" customWidth="1"/>
    <col min="12804" max="12804" width="12.42578125" customWidth="1"/>
    <col min="12805" max="12805" width="11.42578125" customWidth="1"/>
    <col min="13058" max="13058" width="7.42578125" customWidth="1"/>
    <col min="13060" max="13060" width="12.42578125" customWidth="1"/>
    <col min="13061" max="13061" width="11.42578125" customWidth="1"/>
    <col min="13314" max="13314" width="7.42578125" customWidth="1"/>
    <col min="13316" max="13316" width="12.42578125" customWidth="1"/>
    <col min="13317" max="13317" width="11.42578125" customWidth="1"/>
    <col min="13570" max="13570" width="7.42578125" customWidth="1"/>
    <col min="13572" max="13572" width="12.42578125" customWidth="1"/>
    <col min="13573" max="13573" width="11.42578125" customWidth="1"/>
    <col min="13826" max="13826" width="7.42578125" customWidth="1"/>
    <col min="13828" max="13828" width="12.42578125" customWidth="1"/>
    <col min="13829" max="13829" width="11.42578125" customWidth="1"/>
    <col min="14082" max="14082" width="7.42578125" customWidth="1"/>
    <col min="14084" max="14084" width="12.42578125" customWidth="1"/>
    <col min="14085" max="14085" width="11.42578125" customWidth="1"/>
    <col min="14338" max="14338" width="7.42578125" customWidth="1"/>
    <col min="14340" max="14340" width="12.42578125" customWidth="1"/>
    <col min="14341" max="14341" width="11.42578125" customWidth="1"/>
    <col min="14594" max="14594" width="7.42578125" customWidth="1"/>
    <col min="14596" max="14596" width="12.42578125" customWidth="1"/>
    <col min="14597" max="14597" width="11.42578125" customWidth="1"/>
    <col min="14850" max="14850" width="7.42578125" customWidth="1"/>
    <col min="14852" max="14852" width="12.42578125" customWidth="1"/>
    <col min="14853" max="14853" width="11.42578125" customWidth="1"/>
    <col min="15106" max="15106" width="7.42578125" customWidth="1"/>
    <col min="15108" max="15108" width="12.42578125" customWidth="1"/>
    <col min="15109" max="15109" width="11.42578125" customWidth="1"/>
    <col min="15362" max="15362" width="7.42578125" customWidth="1"/>
    <col min="15364" max="15364" width="12.42578125" customWidth="1"/>
    <col min="15365" max="15365" width="11.42578125" customWidth="1"/>
    <col min="15618" max="15618" width="7.42578125" customWidth="1"/>
    <col min="15620" max="15620" width="12.42578125" customWidth="1"/>
    <col min="15621" max="15621" width="11.42578125" customWidth="1"/>
    <col min="15874" max="15874" width="7.42578125" customWidth="1"/>
    <col min="15876" max="15876" width="12.42578125" customWidth="1"/>
    <col min="15877" max="15877" width="11.42578125" customWidth="1"/>
    <col min="16130" max="16130" width="7.42578125" customWidth="1"/>
    <col min="16132" max="16132" width="12.42578125" customWidth="1"/>
    <col min="16133" max="16133" width="11.42578125" customWidth="1"/>
  </cols>
  <sheetData>
    <row r="2" spans="2:6" ht="15" customHeight="1">
      <c r="B2" s="876" t="s">
        <v>0</v>
      </c>
      <c r="C2" s="876"/>
      <c r="D2" s="876"/>
      <c r="E2" s="876"/>
    </row>
    <row r="3" spans="2:6" ht="15" customHeight="1">
      <c r="B3" s="876"/>
      <c r="C3" s="876"/>
      <c r="D3" s="876"/>
      <c r="E3" s="876"/>
    </row>
    <row r="4" spans="2:6">
      <c r="B4" s="876">
        <v>2026</v>
      </c>
      <c r="C4" s="876"/>
      <c r="D4" s="876"/>
      <c r="E4" s="876"/>
    </row>
    <row r="5" spans="2:6" ht="15.75">
      <c r="B5" s="44" t="s">
        <v>1</v>
      </c>
      <c r="C5" s="45" t="s">
        <v>2</v>
      </c>
      <c r="D5" s="45" t="s">
        <v>3</v>
      </c>
      <c r="E5" s="46" t="s">
        <v>4</v>
      </c>
    </row>
    <row r="6" spans="2:6">
      <c r="B6" s="34" t="s">
        <v>5</v>
      </c>
      <c r="C6" s="264"/>
      <c r="D6" s="265"/>
      <c r="E6" s="200" t="e">
        <f>AVERAGE(C6:D6)</f>
        <v>#DIV/0!</v>
      </c>
    </row>
    <row r="7" spans="2:6">
      <c r="B7" s="42" t="s">
        <v>6</v>
      </c>
      <c r="C7" s="624"/>
      <c r="D7" s="625"/>
      <c r="E7" s="200" t="e">
        <f t="shared" ref="E7:E15" si="0">AVERAGE(C7:D7)</f>
        <v>#DIV/0!</v>
      </c>
    </row>
    <row r="8" spans="2:6">
      <c r="B8" s="42" t="s">
        <v>7</v>
      </c>
      <c r="C8" s="264"/>
      <c r="D8" s="265"/>
      <c r="E8" s="200" t="e">
        <f t="shared" si="0"/>
        <v>#DIV/0!</v>
      </c>
      <c r="F8" s="35"/>
    </row>
    <row r="9" spans="2:6">
      <c r="B9" s="42" t="s">
        <v>8</v>
      </c>
      <c r="C9" s="264"/>
      <c r="D9" s="265"/>
      <c r="E9" s="200" t="e">
        <f>AVERAGE(C9:D9)</f>
        <v>#DIV/0!</v>
      </c>
      <c r="F9" s="35"/>
    </row>
    <row r="10" spans="2:6">
      <c r="B10" s="263" t="s">
        <v>9</v>
      </c>
      <c r="C10" s="264"/>
      <c r="D10" s="264"/>
      <c r="E10" s="200" t="e">
        <f t="shared" si="0"/>
        <v>#DIV/0!</v>
      </c>
      <c r="F10" s="35"/>
    </row>
    <row r="11" spans="2:6">
      <c r="B11" s="42" t="s">
        <v>10</v>
      </c>
      <c r="C11" s="264"/>
      <c r="D11" s="264"/>
      <c r="E11" s="200" t="e">
        <f t="shared" si="0"/>
        <v>#DIV/0!</v>
      </c>
    </row>
    <row r="12" spans="2:6">
      <c r="B12" s="42" t="s">
        <v>11</v>
      </c>
      <c r="C12" s="264"/>
      <c r="D12" s="264"/>
      <c r="E12" s="200" t="e">
        <f t="shared" si="0"/>
        <v>#DIV/0!</v>
      </c>
    </row>
    <row r="13" spans="2:6">
      <c r="B13" s="42" t="s">
        <v>12</v>
      </c>
      <c r="C13" s="264"/>
      <c r="D13" s="264"/>
      <c r="E13" s="200" t="e">
        <f t="shared" si="0"/>
        <v>#DIV/0!</v>
      </c>
    </row>
    <row r="14" spans="2:6">
      <c r="B14" s="42" t="s">
        <v>13</v>
      </c>
      <c r="C14" s="264"/>
      <c r="D14" s="264"/>
      <c r="E14" s="200" t="e">
        <f t="shared" si="0"/>
        <v>#DIV/0!</v>
      </c>
    </row>
    <row r="15" spans="2:6">
      <c r="B15" s="42" t="s">
        <v>14</v>
      </c>
      <c r="C15" s="264"/>
      <c r="D15" s="264"/>
      <c r="E15" s="200" t="e">
        <f t="shared" si="0"/>
        <v>#DIV/0!</v>
      </c>
    </row>
    <row r="16" spans="2:6">
      <c r="B16" s="42" t="s">
        <v>15</v>
      </c>
      <c r="C16" s="264"/>
      <c r="D16" s="264"/>
      <c r="E16" s="200" t="e">
        <f>AVERAGE(C16:D16)</f>
        <v>#DIV/0!</v>
      </c>
    </row>
    <row r="17" spans="2:5">
      <c r="B17" s="42" t="s">
        <v>16</v>
      </c>
      <c r="C17" s="264"/>
      <c r="D17" s="264"/>
      <c r="E17" s="200" t="e">
        <f>AVERAGE(C17:D17)</f>
        <v>#DIV/0!</v>
      </c>
    </row>
  </sheetData>
  <mergeCells count="2">
    <mergeCell ref="B2:E3"/>
    <mergeCell ref="B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2:Z126"/>
  <sheetViews>
    <sheetView topLeftCell="A110" zoomScaleNormal="100" workbookViewId="0">
      <selection activeCell="A110" sqref="A110:Z110"/>
    </sheetView>
  </sheetViews>
  <sheetFormatPr baseColWidth="10" defaultColWidth="11.42578125" defaultRowHeight="15"/>
  <cols>
    <col min="1" max="1" width="14" bestFit="1" customWidth="1"/>
    <col min="2" max="2" width="18.42578125" customWidth="1"/>
    <col min="3" max="3" width="2" customWidth="1"/>
    <col min="4" max="4" width="14" bestFit="1" customWidth="1"/>
    <col min="5" max="5" width="18.42578125" customWidth="1"/>
    <col min="6" max="6" width="2" customWidth="1"/>
    <col min="7" max="7" width="14" bestFit="1" customWidth="1"/>
    <col min="8" max="8" width="18.42578125" customWidth="1"/>
    <col min="9" max="9" width="2" customWidth="1"/>
    <col min="10" max="10" width="15.42578125" customWidth="1"/>
    <col min="11" max="11" width="17.42578125" customWidth="1"/>
    <col min="12" max="12" width="2" customWidth="1"/>
    <col min="13" max="13" width="11.42578125" customWidth="1"/>
    <col min="14" max="14" width="16.42578125" customWidth="1"/>
    <col min="15" max="15" width="2" customWidth="1"/>
    <col min="16" max="16" width="17.42578125" bestFit="1" customWidth="1"/>
    <col min="17" max="17" width="16.42578125" customWidth="1"/>
    <col min="18" max="18" width="2" customWidth="1"/>
    <col min="20" max="20" width="17.42578125" customWidth="1"/>
    <col min="21" max="21" width="2.42578125" hidden="1" customWidth="1"/>
    <col min="22" max="22" width="10.42578125" bestFit="1" customWidth="1"/>
    <col min="23" max="23" width="13.42578125" bestFit="1" customWidth="1"/>
    <col min="24" max="24" width="2" customWidth="1"/>
    <col min="26" max="26" width="13.42578125" bestFit="1" customWidth="1"/>
    <col min="27" max="27" width="11.42578125" customWidth="1"/>
  </cols>
  <sheetData>
    <row r="2" spans="1:20" ht="18.75">
      <c r="A2" s="877">
        <v>2020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</row>
    <row r="3" spans="1:20">
      <c r="A3" s="883" t="s">
        <v>17</v>
      </c>
      <c r="B3" s="883"/>
      <c r="C3" s="35"/>
      <c r="D3" s="883" t="s">
        <v>18</v>
      </c>
      <c r="E3" s="883"/>
      <c r="F3" s="35"/>
      <c r="G3" s="883" t="s">
        <v>19</v>
      </c>
      <c r="H3" s="883"/>
      <c r="I3" s="35"/>
      <c r="J3" s="883" t="s">
        <v>20</v>
      </c>
      <c r="K3" s="883"/>
      <c r="L3" s="35"/>
      <c r="M3" s="883" t="s">
        <v>21</v>
      </c>
      <c r="N3" s="883"/>
      <c r="P3" s="883" t="s">
        <v>22</v>
      </c>
      <c r="Q3" s="883"/>
      <c r="S3" s="883" t="s">
        <v>23</v>
      </c>
      <c r="T3" s="883"/>
    </row>
    <row r="4" spans="1:20">
      <c r="A4" s="34" t="s">
        <v>24</v>
      </c>
      <c r="B4" s="36">
        <v>70471.540000000008</v>
      </c>
      <c r="D4" s="34" t="s">
        <v>24</v>
      </c>
      <c r="E4" s="36">
        <v>14320</v>
      </c>
      <c r="G4" s="34" t="s">
        <v>24</v>
      </c>
      <c r="H4" s="36">
        <v>7798.3899999999994</v>
      </c>
      <c r="J4" s="34" t="s">
        <v>24</v>
      </c>
      <c r="K4" s="36">
        <v>54080.73</v>
      </c>
      <c r="M4" s="34" t="s">
        <v>24</v>
      </c>
      <c r="N4" s="36">
        <v>4879.3</v>
      </c>
      <c r="P4" s="34" t="s">
        <v>24</v>
      </c>
      <c r="Q4" s="36"/>
      <c r="S4" s="34" t="s">
        <v>24</v>
      </c>
      <c r="T4" s="36"/>
    </row>
    <row r="5" spans="1:20">
      <c r="A5" s="34" t="s">
        <v>25</v>
      </c>
      <c r="B5" s="36">
        <v>34703.599999999999</v>
      </c>
      <c r="D5" s="34" t="s">
        <v>25</v>
      </c>
      <c r="E5" s="36">
        <v>8920</v>
      </c>
      <c r="G5" s="34" t="s">
        <v>25</v>
      </c>
      <c r="H5" s="36">
        <v>12789.73</v>
      </c>
      <c r="J5" s="34" t="s">
        <v>25</v>
      </c>
      <c r="K5" s="36">
        <v>39864.6</v>
      </c>
      <c r="M5" s="34" t="s">
        <v>25</v>
      </c>
      <c r="N5" s="36">
        <v>6449.2999999999993</v>
      </c>
      <c r="P5" s="34" t="s">
        <v>25</v>
      </c>
      <c r="Q5" s="36"/>
      <c r="S5" s="34" t="s">
        <v>25</v>
      </c>
      <c r="T5" s="36"/>
    </row>
    <row r="6" spans="1:20">
      <c r="A6" s="34" t="s">
        <v>26</v>
      </c>
      <c r="B6" s="36">
        <v>46442.170000000006</v>
      </c>
      <c r="D6" s="34" t="s">
        <v>26</v>
      </c>
      <c r="E6" s="36">
        <v>18880</v>
      </c>
      <c r="G6" s="34" t="s">
        <v>26</v>
      </c>
      <c r="H6" s="36">
        <v>9208.5</v>
      </c>
      <c r="J6" s="34" t="s">
        <v>26</v>
      </c>
      <c r="K6" s="36">
        <v>45267.259999999995</v>
      </c>
      <c r="M6" s="34" t="s">
        <v>26</v>
      </c>
      <c r="N6" s="36">
        <v>6914.2000000000007</v>
      </c>
      <c r="P6" s="34" t="s">
        <v>26</v>
      </c>
      <c r="Q6" s="36">
        <v>1800</v>
      </c>
      <c r="S6" s="34" t="s">
        <v>26</v>
      </c>
      <c r="T6" s="36">
        <v>0</v>
      </c>
    </row>
    <row r="7" spans="1:20">
      <c r="A7" s="34" t="s">
        <v>27</v>
      </c>
      <c r="B7" s="36">
        <v>88265.34</v>
      </c>
      <c r="D7" s="34" t="s">
        <v>27</v>
      </c>
      <c r="E7" s="36">
        <v>5925</v>
      </c>
      <c r="G7" s="34" t="s">
        <v>27</v>
      </c>
      <c r="H7" s="36">
        <v>4750.33</v>
      </c>
      <c r="J7" s="34" t="s">
        <v>27</v>
      </c>
      <c r="K7" s="36">
        <v>36635.769999999997</v>
      </c>
      <c r="M7" s="34" t="s">
        <v>27</v>
      </c>
      <c r="N7" s="36">
        <v>6613.9000000000005</v>
      </c>
      <c r="P7" s="34" t="s">
        <v>27</v>
      </c>
      <c r="Q7" s="36">
        <f>1750+600+1875</f>
        <v>4225</v>
      </c>
      <c r="S7" s="34" t="s">
        <v>27</v>
      </c>
      <c r="T7" s="36">
        <v>20726.13</v>
      </c>
    </row>
    <row r="8" spans="1:20">
      <c r="A8" s="34" t="s">
        <v>28</v>
      </c>
      <c r="B8" s="36">
        <v>79934.010000000009</v>
      </c>
      <c r="D8" s="34" t="s">
        <v>28</v>
      </c>
      <c r="E8" s="36">
        <v>0</v>
      </c>
      <c r="G8" s="34" t="s">
        <v>28</v>
      </c>
      <c r="H8" s="36">
        <v>7517.04</v>
      </c>
      <c r="J8" s="34" t="s">
        <v>28</v>
      </c>
      <c r="K8" s="36">
        <v>7136</v>
      </c>
      <c r="M8" s="34" t="s">
        <v>28</v>
      </c>
      <c r="N8" s="36">
        <v>0</v>
      </c>
      <c r="P8" s="34" t="s">
        <v>28</v>
      </c>
      <c r="Q8" s="36">
        <f>960+1200+300+2500+4250</f>
        <v>9210</v>
      </c>
      <c r="S8" s="34" t="s">
        <v>28</v>
      </c>
      <c r="T8" s="36">
        <v>25186.98</v>
      </c>
    </row>
    <row r="9" spans="1:20">
      <c r="A9" s="34" t="s">
        <v>29</v>
      </c>
      <c r="B9" s="36">
        <v>39129.490000000005</v>
      </c>
      <c r="D9" s="34" t="s">
        <v>29</v>
      </c>
      <c r="E9" s="36">
        <v>0</v>
      </c>
      <c r="G9" s="34" t="s">
        <v>29</v>
      </c>
      <c r="H9" s="36">
        <v>16805.05</v>
      </c>
      <c r="J9" s="34" t="s">
        <v>29</v>
      </c>
      <c r="K9" s="36">
        <v>19757.099999999999</v>
      </c>
      <c r="M9" s="34" t="s">
        <v>29</v>
      </c>
      <c r="N9" s="36">
        <v>0</v>
      </c>
      <c r="P9" s="34" t="s">
        <v>29</v>
      </c>
      <c r="Q9" s="36">
        <f>1570+2380+2410+359+1458</f>
        <v>8177</v>
      </c>
      <c r="S9" s="34" t="s">
        <v>29</v>
      </c>
      <c r="T9" s="36">
        <v>34350.99</v>
      </c>
    </row>
    <row r="10" spans="1:20">
      <c r="A10" s="34" t="s">
        <v>30</v>
      </c>
      <c r="B10" s="36">
        <v>83414.930000000008</v>
      </c>
      <c r="D10" s="34" t="s">
        <v>30</v>
      </c>
      <c r="E10" s="36">
        <v>19970</v>
      </c>
      <c r="G10" s="34" t="s">
        <v>30</v>
      </c>
      <c r="H10" s="36">
        <v>6238.75</v>
      </c>
      <c r="J10" s="34" t="s">
        <v>30</v>
      </c>
      <c r="K10" s="36">
        <v>4324.7</v>
      </c>
      <c r="M10" s="34" t="s">
        <v>30</v>
      </c>
      <c r="N10" s="36">
        <v>6478.2</v>
      </c>
      <c r="P10" s="34" t="s">
        <v>30</v>
      </c>
      <c r="Q10" s="36">
        <v>9227</v>
      </c>
      <c r="S10" s="34" t="s">
        <v>30</v>
      </c>
      <c r="T10" s="36">
        <v>23340.01</v>
      </c>
    </row>
    <row r="11" spans="1:20">
      <c r="A11" s="34" t="s">
        <v>31</v>
      </c>
      <c r="B11" s="36">
        <v>97585.87000000001</v>
      </c>
      <c r="D11" s="34" t="s">
        <v>31</v>
      </c>
      <c r="E11" s="36">
        <v>2290</v>
      </c>
      <c r="G11" s="34" t="s">
        <v>32</v>
      </c>
      <c r="H11" s="36">
        <v>10703.560000000001</v>
      </c>
      <c r="J11" s="34" t="s">
        <v>31</v>
      </c>
      <c r="K11" s="36">
        <f>4872</f>
        <v>4872</v>
      </c>
      <c r="M11" s="34" t="s">
        <v>31</v>
      </c>
      <c r="N11" s="36">
        <v>2006</v>
      </c>
      <c r="P11" s="34" t="s">
        <v>31</v>
      </c>
      <c r="Q11" s="36">
        <v>5310</v>
      </c>
      <c r="S11" s="34" t="s">
        <v>31</v>
      </c>
      <c r="T11" s="36">
        <v>32122.079999999998</v>
      </c>
    </row>
    <row r="12" spans="1:20">
      <c r="A12" s="34" t="s">
        <v>33</v>
      </c>
      <c r="B12" s="37">
        <v>41268.42</v>
      </c>
      <c r="D12" s="34" t="s">
        <v>33</v>
      </c>
      <c r="E12" s="37">
        <v>7280</v>
      </c>
      <c r="G12" s="34" t="s">
        <v>33</v>
      </c>
      <c r="H12" s="37">
        <v>8496.14</v>
      </c>
      <c r="J12" s="34" t="s">
        <v>33</v>
      </c>
      <c r="K12" s="37">
        <v>33644.25</v>
      </c>
      <c r="M12" s="34" t="s">
        <v>33</v>
      </c>
      <c r="N12" s="37">
        <v>3392.5</v>
      </c>
      <c r="P12" s="34" t="s">
        <v>33</v>
      </c>
      <c r="Q12" s="37">
        <v>8113</v>
      </c>
      <c r="S12" s="34" t="s">
        <v>33</v>
      </c>
      <c r="T12" s="37">
        <v>44081.25</v>
      </c>
    </row>
    <row r="13" spans="1:20">
      <c r="A13" s="34" t="s">
        <v>34</v>
      </c>
      <c r="B13" s="37">
        <v>69702.91</v>
      </c>
      <c r="D13" s="34" t="s">
        <v>34</v>
      </c>
      <c r="E13" s="37">
        <v>10350</v>
      </c>
      <c r="G13" s="34" t="s">
        <v>34</v>
      </c>
      <c r="H13" s="37">
        <v>13045.039999999999</v>
      </c>
      <c r="J13" s="34" t="s">
        <v>34</v>
      </c>
      <c r="K13" s="37">
        <v>11198.630000000001</v>
      </c>
      <c r="M13" s="34" t="s">
        <v>34</v>
      </c>
      <c r="N13" s="37">
        <v>14975.38</v>
      </c>
      <c r="P13" s="34" t="s">
        <v>34</v>
      </c>
      <c r="Q13" s="37">
        <v>6212</v>
      </c>
      <c r="S13" s="34" t="s">
        <v>34</v>
      </c>
      <c r="T13" s="37">
        <v>0</v>
      </c>
    </row>
    <row r="14" spans="1:20">
      <c r="A14" s="34" t="s">
        <v>35</v>
      </c>
      <c r="B14" s="37">
        <v>69222.509999999995</v>
      </c>
      <c r="D14" s="34" t="s">
        <v>35</v>
      </c>
      <c r="E14" s="37">
        <v>900</v>
      </c>
      <c r="G14" s="34" t="s">
        <v>35</v>
      </c>
      <c r="H14" s="37">
        <v>17292.620000000003</v>
      </c>
      <c r="J14" s="34" t="s">
        <v>35</v>
      </c>
      <c r="K14" s="37">
        <v>44169.799999999996</v>
      </c>
      <c r="M14" s="34" t="s">
        <v>35</v>
      </c>
      <c r="N14" s="37">
        <v>3599</v>
      </c>
      <c r="P14" s="34" t="s">
        <v>35</v>
      </c>
      <c r="Q14" s="37">
        <v>8858</v>
      </c>
      <c r="S14" s="34" t="s">
        <v>35</v>
      </c>
      <c r="T14" s="37">
        <v>7937.17</v>
      </c>
    </row>
    <row r="15" spans="1:20">
      <c r="A15" s="34" t="s">
        <v>36</v>
      </c>
      <c r="B15" s="37">
        <v>46087.780000000006</v>
      </c>
      <c r="D15" s="34" t="s">
        <v>36</v>
      </c>
      <c r="E15" s="37">
        <v>21730</v>
      </c>
      <c r="G15" s="34" t="s">
        <v>36</v>
      </c>
      <c r="H15" s="37">
        <v>18628.3</v>
      </c>
      <c r="J15" s="34" t="s">
        <v>36</v>
      </c>
      <c r="K15" s="37">
        <v>38270.869999999995</v>
      </c>
      <c r="M15" s="34" t="s">
        <v>36</v>
      </c>
      <c r="N15" s="37">
        <v>7437.67</v>
      </c>
      <c r="P15" s="34" t="s">
        <v>36</v>
      </c>
      <c r="Q15" s="37">
        <v>5786</v>
      </c>
      <c r="S15" s="34" t="s">
        <v>36</v>
      </c>
      <c r="T15" s="37">
        <v>22323.809999999998</v>
      </c>
    </row>
    <row r="16" spans="1:20">
      <c r="A16" s="38" t="s">
        <v>37</v>
      </c>
      <c r="B16" s="27">
        <f>SUM(B4:B15)</f>
        <v>766228.57000000018</v>
      </c>
      <c r="C16" s="35"/>
      <c r="D16" s="38" t="s">
        <v>37</v>
      </c>
      <c r="E16" s="27">
        <f>SUM(E4:E15)</f>
        <v>110565</v>
      </c>
      <c r="F16" s="35"/>
      <c r="G16" s="38" t="s">
        <v>37</v>
      </c>
      <c r="H16" s="27">
        <f>SUM(H4:H15)</f>
        <v>133273.44999999998</v>
      </c>
      <c r="I16" s="35"/>
      <c r="J16" s="38" t="s">
        <v>37</v>
      </c>
      <c r="K16" s="27">
        <f>SUM(K4:K15)</f>
        <v>339221.71</v>
      </c>
      <c r="L16" s="35"/>
      <c r="M16" s="38" t="s">
        <v>37</v>
      </c>
      <c r="N16" s="27">
        <f>SUM(N4:N15)</f>
        <v>62745.45</v>
      </c>
      <c r="P16" s="38" t="s">
        <v>37</v>
      </c>
      <c r="Q16" s="27">
        <f>SUM(Q4:Q15)</f>
        <v>66918</v>
      </c>
      <c r="S16" s="38" t="s">
        <v>37</v>
      </c>
      <c r="T16" s="27">
        <f>SUM(T4:T15)</f>
        <v>210068.42</v>
      </c>
    </row>
    <row r="17" spans="1:20">
      <c r="A17" s="39" t="s">
        <v>38</v>
      </c>
      <c r="B17" s="40">
        <f>B16/12</f>
        <v>63852.380833333351</v>
      </c>
      <c r="C17" s="40"/>
      <c r="D17" s="41" t="s">
        <v>38</v>
      </c>
      <c r="E17" s="40">
        <f>E16/12</f>
        <v>9213.75</v>
      </c>
      <c r="F17" s="40"/>
      <c r="G17" s="41" t="s">
        <v>38</v>
      </c>
      <c r="H17" s="40">
        <f>H16/12</f>
        <v>11106.120833333332</v>
      </c>
      <c r="I17" s="40"/>
      <c r="J17" s="41" t="s">
        <v>38</v>
      </c>
      <c r="K17" s="40">
        <f>K16/12</f>
        <v>28268.475833333334</v>
      </c>
      <c r="L17" s="40"/>
      <c r="M17" s="41" t="s">
        <v>38</v>
      </c>
      <c r="N17" s="40">
        <f>N16/12</f>
        <v>5228.7874999999995</v>
      </c>
      <c r="P17" s="41" t="s">
        <v>38</v>
      </c>
      <c r="Q17" s="40">
        <f>Q16/10</f>
        <v>6691.8</v>
      </c>
      <c r="S17" s="41" t="s">
        <v>38</v>
      </c>
      <c r="T17" s="40">
        <f>T16/12</f>
        <v>17505.701666666668</v>
      </c>
    </row>
    <row r="20" spans="1:20" ht="18.75">
      <c r="A20" s="877">
        <v>2021</v>
      </c>
      <c r="B20" s="878"/>
      <c r="C20" s="878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O20" s="878"/>
      <c r="P20" s="878"/>
      <c r="Q20" s="878"/>
      <c r="R20" s="878"/>
      <c r="S20" s="878"/>
      <c r="T20" s="878"/>
    </row>
    <row r="21" spans="1:20">
      <c r="A21" s="879" t="s">
        <v>17</v>
      </c>
      <c r="B21" s="880"/>
      <c r="C21" s="35"/>
      <c r="D21" s="879" t="s">
        <v>18</v>
      </c>
      <c r="E21" s="880"/>
      <c r="F21" s="35"/>
      <c r="G21" s="879" t="s">
        <v>19</v>
      </c>
      <c r="H21" s="880"/>
      <c r="I21" s="35"/>
      <c r="J21" s="879" t="s">
        <v>20</v>
      </c>
      <c r="K21" s="880"/>
      <c r="L21" s="35"/>
      <c r="M21" s="879" t="s">
        <v>21</v>
      </c>
      <c r="N21" s="880"/>
      <c r="P21" s="879" t="s">
        <v>22</v>
      </c>
      <c r="Q21" s="880"/>
      <c r="S21" s="879" t="s">
        <v>23</v>
      </c>
      <c r="T21" s="880"/>
    </row>
    <row r="22" spans="1:20">
      <c r="A22" s="34" t="s">
        <v>24</v>
      </c>
      <c r="B22" s="36">
        <v>65367.29</v>
      </c>
      <c r="D22" s="34" t="s">
        <v>24</v>
      </c>
      <c r="E22" s="36">
        <v>1367.5</v>
      </c>
      <c r="G22" s="34" t="s">
        <v>24</v>
      </c>
      <c r="H22" s="36">
        <v>22550.46</v>
      </c>
      <c r="J22" s="34" t="s">
        <v>24</v>
      </c>
      <c r="K22" s="36">
        <v>31531.29</v>
      </c>
      <c r="M22" s="34" t="s">
        <v>24</v>
      </c>
      <c r="N22" s="36">
        <v>4875.0600000000004</v>
      </c>
      <c r="P22" s="34" t="s">
        <v>24</v>
      </c>
      <c r="Q22" s="36">
        <v>12382</v>
      </c>
      <c r="S22" s="34" t="s">
        <v>24</v>
      </c>
      <c r="T22" s="36">
        <v>25580.02</v>
      </c>
    </row>
    <row r="23" spans="1:20">
      <c r="A23" s="34" t="s">
        <v>25</v>
      </c>
      <c r="B23" s="36">
        <v>39603.229999999996</v>
      </c>
      <c r="D23" s="34" t="s">
        <v>25</v>
      </c>
      <c r="E23" s="36">
        <v>10600</v>
      </c>
      <c r="G23" s="34" t="s">
        <v>25</v>
      </c>
      <c r="H23" s="36">
        <v>3324.9800000000005</v>
      </c>
      <c r="J23" s="34" t="s">
        <v>25</v>
      </c>
      <c r="K23" s="36">
        <v>22857.199999999997</v>
      </c>
      <c r="M23" s="34" t="s">
        <v>25</v>
      </c>
      <c r="N23" s="36">
        <v>5845.84</v>
      </c>
      <c r="P23" s="34" t="s">
        <v>25</v>
      </c>
      <c r="Q23" s="36">
        <v>8856</v>
      </c>
      <c r="S23" s="34" t="s">
        <v>25</v>
      </c>
      <c r="T23" s="36">
        <v>3817.5</v>
      </c>
    </row>
    <row r="24" spans="1:20">
      <c r="A24" s="34" t="s">
        <v>26</v>
      </c>
      <c r="B24" s="36">
        <v>55363.88</v>
      </c>
      <c r="D24" s="34" t="s">
        <v>26</v>
      </c>
      <c r="E24" s="36">
        <v>17185</v>
      </c>
      <c r="G24" s="34" t="s">
        <v>26</v>
      </c>
      <c r="H24" s="36">
        <v>6741.3600000000006</v>
      </c>
      <c r="J24" s="34" t="s">
        <v>26</v>
      </c>
      <c r="K24" s="36">
        <v>46780.259999999995</v>
      </c>
      <c r="M24" s="34" t="s">
        <v>26</v>
      </c>
      <c r="N24" s="36">
        <v>6354.3899999999994</v>
      </c>
      <c r="P24" s="34" t="s">
        <v>26</v>
      </c>
      <c r="Q24" s="36">
        <v>3900</v>
      </c>
      <c r="S24" s="34" t="s">
        <v>26</v>
      </c>
      <c r="T24" s="36">
        <v>33930.600000000006</v>
      </c>
    </row>
    <row r="25" spans="1:20">
      <c r="A25" s="34" t="s">
        <v>27</v>
      </c>
      <c r="B25" s="36">
        <v>43563.61</v>
      </c>
      <c r="D25" s="34" t="s">
        <v>27</v>
      </c>
      <c r="E25" s="36">
        <v>5400</v>
      </c>
      <c r="G25" s="34" t="s">
        <v>27</v>
      </c>
      <c r="H25" s="36">
        <v>10037.41</v>
      </c>
      <c r="J25" s="34" t="s">
        <v>27</v>
      </c>
      <c r="K25" s="36">
        <v>55780.900000000009</v>
      </c>
      <c r="M25" s="34" t="s">
        <v>27</v>
      </c>
      <c r="N25" s="36">
        <v>9285.0700000000015</v>
      </c>
      <c r="P25" s="34" t="s">
        <v>27</v>
      </c>
      <c r="Q25" s="36">
        <v>5843</v>
      </c>
      <c r="S25" s="34" t="s">
        <v>27</v>
      </c>
      <c r="T25" s="36">
        <v>0</v>
      </c>
    </row>
    <row r="26" spans="1:20">
      <c r="A26" s="34" t="s">
        <v>28</v>
      </c>
      <c r="B26" s="36">
        <v>94643.31</v>
      </c>
      <c r="D26" s="34" t="s">
        <v>28</v>
      </c>
      <c r="E26" s="36">
        <v>18605</v>
      </c>
      <c r="G26" s="34" t="s">
        <v>28</v>
      </c>
      <c r="H26" s="36">
        <v>11157.5</v>
      </c>
      <c r="J26" s="34" t="s">
        <v>28</v>
      </c>
      <c r="K26" s="36">
        <v>10970.84</v>
      </c>
      <c r="M26" s="34" t="s">
        <v>28</v>
      </c>
      <c r="N26" s="36">
        <v>5894.93</v>
      </c>
      <c r="P26" s="34" t="s">
        <v>28</v>
      </c>
      <c r="Q26" s="36">
        <v>11200</v>
      </c>
      <c r="S26" s="34" t="s">
        <v>28</v>
      </c>
      <c r="T26" s="36">
        <v>3159</v>
      </c>
    </row>
    <row r="27" spans="1:20">
      <c r="A27" s="34" t="s">
        <v>29</v>
      </c>
      <c r="B27" s="36">
        <v>86029.57</v>
      </c>
      <c r="D27" s="34" t="s">
        <v>29</v>
      </c>
      <c r="E27" s="36">
        <v>16200</v>
      </c>
      <c r="G27" s="34" t="s">
        <v>29</v>
      </c>
      <c r="H27" s="36">
        <v>11302</v>
      </c>
      <c r="J27" s="34" t="s">
        <v>29</v>
      </c>
      <c r="K27" s="36">
        <v>38133.58</v>
      </c>
      <c r="M27" s="34" t="s">
        <v>29</v>
      </c>
      <c r="N27" s="36">
        <v>8680.91</v>
      </c>
      <c r="P27" s="34" t="s">
        <v>29</v>
      </c>
      <c r="Q27" s="36">
        <v>6106</v>
      </c>
      <c r="S27" s="34" t="s">
        <v>29</v>
      </c>
      <c r="T27" s="36">
        <v>0</v>
      </c>
    </row>
    <row r="28" spans="1:20">
      <c r="A28" s="34" t="s">
        <v>30</v>
      </c>
      <c r="B28" s="36">
        <v>39173.339999999997</v>
      </c>
      <c r="D28" s="34" t="s">
        <v>30</v>
      </c>
      <c r="E28" s="36">
        <v>5500</v>
      </c>
      <c r="G28" s="34" t="s">
        <v>30</v>
      </c>
      <c r="H28" s="36">
        <v>7363.57</v>
      </c>
      <c r="J28" s="34" t="s">
        <v>30</v>
      </c>
      <c r="K28" s="36">
        <v>19026.48</v>
      </c>
      <c r="M28" s="34" t="s">
        <v>30</v>
      </c>
      <c r="N28" s="36">
        <v>7854.84</v>
      </c>
      <c r="P28" s="34" t="s">
        <v>30</v>
      </c>
      <c r="Q28" s="36">
        <v>6450</v>
      </c>
      <c r="S28" s="34" t="s">
        <v>30</v>
      </c>
      <c r="T28" s="36">
        <v>19495.97</v>
      </c>
    </row>
    <row r="29" spans="1:20">
      <c r="A29" s="34" t="s">
        <v>31</v>
      </c>
      <c r="B29" s="36">
        <v>69077.78</v>
      </c>
      <c r="D29" s="34" t="s">
        <v>31</v>
      </c>
      <c r="E29" s="36">
        <v>3110</v>
      </c>
      <c r="G29" s="34" t="s">
        <v>32</v>
      </c>
      <c r="H29" s="36">
        <v>6502.6299999999992</v>
      </c>
      <c r="J29" s="34" t="s">
        <v>31</v>
      </c>
      <c r="K29" s="36">
        <v>29905.799999999996</v>
      </c>
      <c r="M29" s="34" t="s">
        <v>31</v>
      </c>
      <c r="N29" s="36">
        <v>7286.27</v>
      </c>
      <c r="P29" s="34" t="s">
        <v>31</v>
      </c>
      <c r="Q29" s="36">
        <v>7057</v>
      </c>
      <c r="S29" s="34" t="s">
        <v>31</v>
      </c>
      <c r="T29" s="36">
        <v>49755.43</v>
      </c>
    </row>
    <row r="30" spans="1:20">
      <c r="A30" s="34" t="s">
        <v>33</v>
      </c>
      <c r="B30" s="37">
        <v>45143.07</v>
      </c>
      <c r="D30" s="34" t="s">
        <v>33</v>
      </c>
      <c r="E30" s="37">
        <v>17640</v>
      </c>
      <c r="G30" s="34" t="s">
        <v>33</v>
      </c>
      <c r="H30" s="37">
        <v>10942.31</v>
      </c>
      <c r="J30" s="34" t="s">
        <v>33</v>
      </c>
      <c r="K30" s="37">
        <v>45844.69</v>
      </c>
      <c r="M30" s="34" t="s">
        <v>33</v>
      </c>
      <c r="N30" s="37">
        <v>12249.619999999999</v>
      </c>
      <c r="P30" s="34" t="s">
        <v>33</v>
      </c>
      <c r="Q30" s="37">
        <v>11870</v>
      </c>
      <c r="S30" s="34" t="s">
        <v>33</v>
      </c>
      <c r="T30" s="37">
        <v>33793.58</v>
      </c>
    </row>
    <row r="31" spans="1:20">
      <c r="A31" s="34" t="s">
        <v>34</v>
      </c>
      <c r="B31" s="37">
        <v>75632.040000000008</v>
      </c>
      <c r="D31" s="34" t="s">
        <v>34</v>
      </c>
      <c r="E31" s="37">
        <v>10710</v>
      </c>
      <c r="G31" s="34" t="s">
        <v>34</v>
      </c>
      <c r="H31" s="37">
        <v>15564.050000000003</v>
      </c>
      <c r="J31" s="34" t="s">
        <v>34</v>
      </c>
      <c r="K31" s="37">
        <v>65834.7</v>
      </c>
      <c r="M31" s="34" t="s">
        <v>34</v>
      </c>
      <c r="N31" s="37">
        <v>11968.4</v>
      </c>
      <c r="P31" s="34" t="s">
        <v>34</v>
      </c>
      <c r="Q31" s="37">
        <v>3249</v>
      </c>
      <c r="S31" s="34" t="s">
        <v>34</v>
      </c>
      <c r="T31" s="37">
        <v>15867.5</v>
      </c>
    </row>
    <row r="32" spans="1:20">
      <c r="A32" s="34" t="s">
        <v>35</v>
      </c>
      <c r="B32" s="37">
        <v>49909.850000000006</v>
      </c>
      <c r="D32" s="34" t="s">
        <v>35</v>
      </c>
      <c r="E32" s="37">
        <v>25030</v>
      </c>
      <c r="G32" s="34" t="s">
        <v>35</v>
      </c>
      <c r="H32" s="37">
        <v>3870.46</v>
      </c>
      <c r="J32" s="34" t="s">
        <v>35</v>
      </c>
      <c r="K32" s="37">
        <v>32291.51</v>
      </c>
      <c r="M32" s="34" t="s">
        <v>35</v>
      </c>
      <c r="N32" s="37">
        <v>7285.4400000000005</v>
      </c>
      <c r="P32" s="34" t="s">
        <v>35</v>
      </c>
      <c r="Q32" s="37">
        <v>1460</v>
      </c>
      <c r="S32" s="34" t="s">
        <v>35</v>
      </c>
      <c r="T32" s="37">
        <v>4970</v>
      </c>
    </row>
    <row r="33" spans="1:26">
      <c r="A33" s="34" t="s">
        <v>36</v>
      </c>
      <c r="B33" s="37">
        <v>82665.390000000014</v>
      </c>
      <c r="D33" s="34" t="s">
        <v>36</v>
      </c>
      <c r="E33" s="37">
        <v>10130</v>
      </c>
      <c r="G33" s="34" t="s">
        <v>36</v>
      </c>
      <c r="H33" s="37">
        <v>11648.35</v>
      </c>
      <c r="J33" s="34" t="s">
        <v>36</v>
      </c>
      <c r="K33" s="37">
        <v>82799.599999999991</v>
      </c>
      <c r="M33" s="34" t="s">
        <v>36</v>
      </c>
      <c r="N33" s="37">
        <v>14455.17</v>
      </c>
      <c r="P33" s="34" t="s">
        <v>36</v>
      </c>
      <c r="Q33" s="37">
        <v>1749</v>
      </c>
      <c r="S33" s="34" t="s">
        <v>36</v>
      </c>
      <c r="T33" s="37">
        <v>30490</v>
      </c>
    </row>
    <row r="34" spans="1:26">
      <c r="A34" s="38" t="s">
        <v>37</v>
      </c>
      <c r="B34" s="27">
        <f>SUM(B22:B32)</f>
        <v>663506.97</v>
      </c>
      <c r="C34" s="35"/>
      <c r="D34" s="38" t="s">
        <v>37</v>
      </c>
      <c r="E34" s="27">
        <f>SUM(E22:E32)</f>
        <v>131347.5</v>
      </c>
      <c r="F34" s="35"/>
      <c r="G34" s="38" t="s">
        <v>37</v>
      </c>
      <c r="H34" s="27">
        <f>SUM(H22:H32)</f>
        <v>109356.73000000001</v>
      </c>
      <c r="I34" s="35"/>
      <c r="J34" s="38" t="s">
        <v>37</v>
      </c>
      <c r="K34" s="27">
        <f>SUM(K22:K32)</f>
        <v>398957.25000000006</v>
      </c>
      <c r="L34" s="35"/>
      <c r="M34" s="38" t="s">
        <v>37</v>
      </c>
      <c r="N34" s="27">
        <f>SUM(N22:N32)</f>
        <v>87580.76999999999</v>
      </c>
      <c r="P34" s="38" t="s">
        <v>37</v>
      </c>
      <c r="Q34" s="27">
        <f>SUM(Q22:Q32)</f>
        <v>78373</v>
      </c>
      <c r="S34" s="38" t="s">
        <v>37</v>
      </c>
      <c r="T34" s="27">
        <f>SUM(T22:T32)</f>
        <v>190369.60000000003</v>
      </c>
    </row>
    <row r="35" spans="1:26">
      <c r="A35" s="39" t="s">
        <v>38</v>
      </c>
      <c r="B35" s="40">
        <f>B34/12</f>
        <v>55292.247499999998</v>
      </c>
      <c r="C35" s="40"/>
      <c r="D35" s="41" t="s">
        <v>38</v>
      </c>
      <c r="E35" s="40">
        <f>E34/12</f>
        <v>10945.625</v>
      </c>
      <c r="F35" s="40"/>
      <c r="G35" s="41" t="s">
        <v>38</v>
      </c>
      <c r="H35" s="40">
        <f>H34/12</f>
        <v>9113.0608333333348</v>
      </c>
      <c r="I35" s="40"/>
      <c r="J35" s="41" t="s">
        <v>38</v>
      </c>
      <c r="K35" s="40">
        <f>K34/12</f>
        <v>33246.437500000007</v>
      </c>
      <c r="L35" s="40"/>
      <c r="M35" s="41" t="s">
        <v>38</v>
      </c>
      <c r="N35" s="40">
        <f>N34/12</f>
        <v>7298.3974999999991</v>
      </c>
      <c r="P35" s="41" t="s">
        <v>38</v>
      </c>
      <c r="Q35" s="40">
        <f>Q34/12</f>
        <v>6531.083333333333</v>
      </c>
      <c r="S35" s="41" t="s">
        <v>38</v>
      </c>
      <c r="T35" s="40">
        <f>T34/12</f>
        <v>15864.133333333337</v>
      </c>
    </row>
    <row r="38" spans="1:26" ht="19.5" thickBot="1">
      <c r="A38" s="877">
        <v>2022</v>
      </c>
      <c r="B38" s="878"/>
      <c r="C38" s="878"/>
      <c r="D38" s="878"/>
      <c r="E38" s="878"/>
      <c r="F38" s="878"/>
      <c r="G38" s="878"/>
      <c r="H38" s="878"/>
      <c r="I38" s="878"/>
      <c r="J38" s="878"/>
      <c r="K38" s="878"/>
      <c r="L38" s="878"/>
      <c r="M38" s="878"/>
      <c r="N38" s="878"/>
      <c r="O38" s="878"/>
      <c r="P38" s="878"/>
      <c r="Q38" s="878"/>
      <c r="R38" s="878"/>
      <c r="S38" s="878"/>
      <c r="T38" s="878"/>
      <c r="U38" s="878"/>
      <c r="V38" s="878"/>
      <c r="W38" s="878"/>
      <c r="X38" s="878"/>
      <c r="Y38" s="878"/>
      <c r="Z38" s="878"/>
    </row>
    <row r="39" spans="1:26">
      <c r="A39" s="879" t="s">
        <v>17</v>
      </c>
      <c r="B39" s="880"/>
      <c r="C39" s="35"/>
      <c r="D39" s="879" t="s">
        <v>18</v>
      </c>
      <c r="E39" s="880"/>
      <c r="F39" s="35"/>
      <c r="G39" s="879" t="s">
        <v>19</v>
      </c>
      <c r="H39" s="880"/>
      <c r="I39" s="35"/>
      <c r="J39" s="879" t="s">
        <v>20</v>
      </c>
      <c r="K39" s="880"/>
      <c r="L39" s="35"/>
      <c r="M39" s="879" t="s">
        <v>21</v>
      </c>
      <c r="N39" s="880"/>
      <c r="P39" s="879" t="s">
        <v>22</v>
      </c>
      <c r="Q39" s="880"/>
      <c r="S39" s="879" t="s">
        <v>23</v>
      </c>
      <c r="T39" s="880"/>
      <c r="V39" s="879" t="s">
        <v>39</v>
      </c>
      <c r="W39" s="880"/>
      <c r="Y39" s="881" t="s">
        <v>40</v>
      </c>
      <c r="Z39" s="882"/>
    </row>
    <row r="40" spans="1:26">
      <c r="A40" s="34" t="s">
        <v>24</v>
      </c>
      <c r="B40" s="36">
        <v>48800.98</v>
      </c>
      <c r="D40" s="34" t="s">
        <v>24</v>
      </c>
      <c r="E40" s="36">
        <v>15775</v>
      </c>
      <c r="G40" s="34" t="s">
        <v>24</v>
      </c>
      <c r="H40" s="36">
        <v>10338.84</v>
      </c>
      <c r="J40" s="34" t="s">
        <v>24</v>
      </c>
      <c r="K40" s="36">
        <v>73411.500000000015</v>
      </c>
      <c r="M40" s="34" t="s">
        <v>24</v>
      </c>
      <c r="N40" s="36">
        <v>9080.81</v>
      </c>
      <c r="P40" s="34" t="s">
        <v>24</v>
      </c>
      <c r="Q40" s="36">
        <v>15189</v>
      </c>
      <c r="S40" s="34" t="s">
        <v>24</v>
      </c>
      <c r="T40" s="36">
        <v>7150</v>
      </c>
      <c r="V40" s="34" t="s">
        <v>24</v>
      </c>
      <c r="W40" s="36">
        <v>0</v>
      </c>
      <c r="Y40" s="77" t="s">
        <v>24</v>
      </c>
      <c r="Z40" s="80">
        <v>0</v>
      </c>
    </row>
    <row r="41" spans="1:26">
      <c r="A41" s="34" t="s">
        <v>25</v>
      </c>
      <c r="B41" s="36">
        <v>62525.880000000005</v>
      </c>
      <c r="D41" s="34" t="s">
        <v>25</v>
      </c>
      <c r="E41" s="36">
        <v>18425</v>
      </c>
      <c r="G41" s="34" t="s">
        <v>25</v>
      </c>
      <c r="H41" s="36">
        <v>10142.06</v>
      </c>
      <c r="J41" s="34" t="s">
        <v>25</v>
      </c>
      <c r="K41" s="36">
        <v>26048.050000000003</v>
      </c>
      <c r="M41" s="34" t="s">
        <v>25</v>
      </c>
      <c r="N41" s="36">
        <v>6580.86</v>
      </c>
      <c r="P41" s="34" t="s">
        <v>25</v>
      </c>
      <c r="Q41" s="36">
        <v>13565</v>
      </c>
      <c r="S41" s="34" t="s">
        <v>25</v>
      </c>
      <c r="T41" s="36">
        <v>7815.15</v>
      </c>
      <c r="V41" s="34" t="s">
        <v>25</v>
      </c>
      <c r="W41" s="36">
        <v>0</v>
      </c>
      <c r="Y41" s="77" t="s">
        <v>25</v>
      </c>
      <c r="Z41" s="80">
        <v>-404.01</v>
      </c>
    </row>
    <row r="42" spans="1:26">
      <c r="A42" s="34" t="s">
        <v>26</v>
      </c>
      <c r="B42" s="36">
        <v>48258.99</v>
      </c>
      <c r="D42" s="34" t="s">
        <v>26</v>
      </c>
      <c r="E42" s="36">
        <v>28115</v>
      </c>
      <c r="G42" s="34" t="s">
        <v>26</v>
      </c>
      <c r="H42" s="36">
        <v>3535.74</v>
      </c>
      <c r="J42" s="34" t="s">
        <v>26</v>
      </c>
      <c r="K42" s="36">
        <v>44165.88</v>
      </c>
      <c r="M42" s="34" t="s">
        <v>26</v>
      </c>
      <c r="N42" s="36">
        <v>7756.14</v>
      </c>
      <c r="P42" s="34" t="s">
        <v>26</v>
      </c>
      <c r="Q42" s="36">
        <v>9830</v>
      </c>
      <c r="S42" s="34" t="s">
        <v>26</v>
      </c>
      <c r="T42" s="36">
        <v>19149.39</v>
      </c>
      <c r="V42" s="34" t="s">
        <v>26</v>
      </c>
      <c r="W42" s="36">
        <v>44300</v>
      </c>
      <c r="Y42" s="77" t="s">
        <v>26</v>
      </c>
      <c r="Z42" s="80">
        <v>0</v>
      </c>
    </row>
    <row r="43" spans="1:26">
      <c r="A43" s="34" t="s">
        <v>27</v>
      </c>
      <c r="B43" s="36">
        <v>63960.350000000006</v>
      </c>
      <c r="D43" s="34" t="s">
        <v>27</v>
      </c>
      <c r="E43" s="36">
        <v>21360</v>
      </c>
      <c r="G43" s="34" t="s">
        <v>27</v>
      </c>
      <c r="H43" s="36">
        <v>3245.96</v>
      </c>
      <c r="J43" s="34" t="s">
        <v>27</v>
      </c>
      <c r="K43" s="36">
        <v>67334.350000000006</v>
      </c>
      <c r="M43" s="34" t="s">
        <v>27</v>
      </c>
      <c r="N43" s="36">
        <v>901.53</v>
      </c>
      <c r="P43" s="34" t="s">
        <v>27</v>
      </c>
      <c r="Q43" s="36">
        <v>12459</v>
      </c>
      <c r="S43" s="34" t="s">
        <v>27</v>
      </c>
      <c r="T43" s="36">
        <v>5799.98</v>
      </c>
      <c r="V43" s="34" t="s">
        <v>27</v>
      </c>
      <c r="W43" s="36">
        <v>0</v>
      </c>
      <c r="Y43" s="77" t="s">
        <v>27</v>
      </c>
      <c r="Z43" s="80">
        <v>-1256.74</v>
      </c>
    </row>
    <row r="44" spans="1:26">
      <c r="A44" s="34" t="s">
        <v>28</v>
      </c>
      <c r="B44" s="36">
        <v>57396.770000000004</v>
      </c>
      <c r="D44" s="34" t="s">
        <v>28</v>
      </c>
      <c r="E44" s="36">
        <v>13615</v>
      </c>
      <c r="G44" s="34" t="s">
        <v>28</v>
      </c>
      <c r="H44" s="36">
        <v>7214.8099999999995</v>
      </c>
      <c r="J44" s="34" t="s">
        <v>28</v>
      </c>
      <c r="K44" s="36">
        <v>42020.250000000007</v>
      </c>
      <c r="M44" s="34" t="s">
        <v>28</v>
      </c>
      <c r="N44" s="36">
        <v>3071.54</v>
      </c>
      <c r="P44" s="34" t="s">
        <v>28</v>
      </c>
      <c r="Q44" s="36">
        <v>3945</v>
      </c>
      <c r="S44" s="34" t="s">
        <v>28</v>
      </c>
      <c r="T44" s="36">
        <v>0</v>
      </c>
      <c r="V44" s="34" t="s">
        <v>28</v>
      </c>
      <c r="W44" s="36">
        <v>0</v>
      </c>
      <c r="Y44" s="77" t="s">
        <v>28</v>
      </c>
      <c r="Z44" s="80">
        <v>0</v>
      </c>
    </row>
    <row r="45" spans="1:26">
      <c r="A45" s="34" t="s">
        <v>29</v>
      </c>
      <c r="B45" s="36">
        <v>53581.120000000003</v>
      </c>
      <c r="D45" s="34" t="s">
        <v>29</v>
      </c>
      <c r="E45" s="36">
        <v>26535</v>
      </c>
      <c r="G45" s="34" t="s">
        <v>29</v>
      </c>
      <c r="H45" s="36">
        <v>7940.9299999999967</v>
      </c>
      <c r="J45" s="34" t="s">
        <v>29</v>
      </c>
      <c r="K45" s="36">
        <v>64215.149999999994</v>
      </c>
      <c r="M45" s="34" t="s">
        <v>29</v>
      </c>
      <c r="N45" s="36">
        <v>5531.84</v>
      </c>
      <c r="P45" s="34" t="s">
        <v>29</v>
      </c>
      <c r="Q45" s="36">
        <v>6959</v>
      </c>
      <c r="S45" s="34" t="s">
        <v>29</v>
      </c>
      <c r="T45" s="36">
        <v>34419.96</v>
      </c>
      <c r="V45" s="34" t="s">
        <v>29</v>
      </c>
      <c r="W45" s="36">
        <v>0</v>
      </c>
      <c r="Y45" s="77" t="s">
        <v>29</v>
      </c>
      <c r="Z45" s="80">
        <v>0</v>
      </c>
    </row>
    <row r="46" spans="1:26">
      <c r="A46" s="34" t="s">
        <v>30</v>
      </c>
      <c r="B46" s="36">
        <v>82773.459999999992</v>
      </c>
      <c r="D46" s="34" t="s">
        <v>30</v>
      </c>
      <c r="E46" s="36">
        <v>23415</v>
      </c>
      <c r="G46" s="34" t="s">
        <v>30</v>
      </c>
      <c r="H46" s="36">
        <v>4726.2700000000004</v>
      </c>
      <c r="J46" s="34" t="s">
        <v>30</v>
      </c>
      <c r="K46" s="36">
        <v>57110.83</v>
      </c>
      <c r="M46" s="34" t="s">
        <v>30</v>
      </c>
      <c r="N46" s="36">
        <v>3200.16</v>
      </c>
      <c r="P46" s="34" t="s">
        <v>30</v>
      </c>
      <c r="Q46" s="36">
        <v>1420</v>
      </c>
      <c r="S46" s="34" t="s">
        <v>30</v>
      </c>
      <c r="T46" s="36">
        <v>0</v>
      </c>
      <c r="V46" s="34" t="s">
        <v>30</v>
      </c>
      <c r="W46" s="36">
        <v>21400</v>
      </c>
      <c r="Y46" s="77" t="s">
        <v>30</v>
      </c>
      <c r="Z46" s="80">
        <v>-1398.16</v>
      </c>
    </row>
    <row r="47" spans="1:26">
      <c r="A47" s="34" t="s">
        <v>31</v>
      </c>
      <c r="B47" s="36">
        <v>62930.67</v>
      </c>
      <c r="D47" s="34" t="s">
        <v>31</v>
      </c>
      <c r="E47" s="36">
        <v>15700</v>
      </c>
      <c r="G47" s="34" t="s">
        <v>31</v>
      </c>
      <c r="H47" s="36">
        <v>19669.37</v>
      </c>
      <c r="J47" s="34" t="s">
        <v>31</v>
      </c>
      <c r="K47" s="36">
        <v>30115.5</v>
      </c>
      <c r="M47" s="34" t="s">
        <v>31</v>
      </c>
      <c r="N47" s="36">
        <v>3278.04</v>
      </c>
      <c r="P47" s="34" t="s">
        <v>31</v>
      </c>
      <c r="Q47" s="36">
        <v>3278.04</v>
      </c>
      <c r="S47" s="34" t="s">
        <v>31</v>
      </c>
      <c r="T47" s="36">
        <v>-4714.49</v>
      </c>
      <c r="V47" s="34" t="s">
        <v>31</v>
      </c>
      <c r="W47" s="36">
        <v>0</v>
      </c>
      <c r="Y47" s="77" t="s">
        <v>31</v>
      </c>
      <c r="Z47" s="80">
        <v>0</v>
      </c>
    </row>
    <row r="48" spans="1:26">
      <c r="A48" s="34" t="s">
        <v>33</v>
      </c>
      <c r="B48" s="36">
        <v>41093.1</v>
      </c>
      <c r="D48" s="34" t="s">
        <v>33</v>
      </c>
      <c r="E48" s="37">
        <v>9600</v>
      </c>
      <c r="G48" s="34" t="s">
        <v>33</v>
      </c>
      <c r="H48" s="37">
        <v>8915.7199999999993</v>
      </c>
      <c r="J48" s="34" t="s">
        <v>33</v>
      </c>
      <c r="K48" s="37">
        <v>10202.880000000001</v>
      </c>
      <c r="M48" s="34" t="s">
        <v>33</v>
      </c>
      <c r="N48" s="37">
        <v>6207.9800000000005</v>
      </c>
      <c r="P48" s="34" t="s">
        <v>33</v>
      </c>
      <c r="Q48" s="36">
        <v>3479</v>
      </c>
      <c r="S48" s="34" t="s">
        <v>33</v>
      </c>
      <c r="T48" s="37">
        <v>5083.4399999999996</v>
      </c>
      <c r="V48" s="34" t="s">
        <v>33</v>
      </c>
      <c r="W48" s="37">
        <v>0</v>
      </c>
      <c r="Y48" s="77" t="s">
        <v>33</v>
      </c>
      <c r="Z48" s="81">
        <v>0</v>
      </c>
    </row>
    <row r="49" spans="1:26">
      <c r="A49" s="34" t="s">
        <v>34</v>
      </c>
      <c r="B49" s="36">
        <v>81148.37000000001</v>
      </c>
      <c r="D49" s="34" t="s">
        <v>34</v>
      </c>
      <c r="E49" s="37">
        <v>24950</v>
      </c>
      <c r="G49" s="34" t="s">
        <v>34</v>
      </c>
      <c r="H49" s="37">
        <v>18446.559999999998</v>
      </c>
      <c r="J49" s="34" t="s">
        <v>34</v>
      </c>
      <c r="K49" s="37">
        <v>39656.090000000004</v>
      </c>
      <c r="M49" s="34" t="s">
        <v>34</v>
      </c>
      <c r="N49" s="37">
        <v>4250.3599999999997</v>
      </c>
      <c r="P49" s="34" t="s">
        <v>34</v>
      </c>
      <c r="Q49" s="36">
        <v>6953</v>
      </c>
      <c r="S49" s="34" t="s">
        <v>34</v>
      </c>
      <c r="T49" s="37">
        <v>0</v>
      </c>
      <c r="V49" s="34" t="s">
        <v>34</v>
      </c>
      <c r="W49" s="37">
        <v>0</v>
      </c>
      <c r="Y49" s="77" t="s">
        <v>34</v>
      </c>
      <c r="Z49" s="81">
        <v>0</v>
      </c>
    </row>
    <row r="50" spans="1:26">
      <c r="A50" s="34" t="s">
        <v>35</v>
      </c>
      <c r="B50" s="36">
        <v>59807.47</v>
      </c>
      <c r="D50" s="34" t="s">
        <v>35</v>
      </c>
      <c r="E50" s="37">
        <v>9505</v>
      </c>
      <c r="G50" s="34" t="s">
        <v>35</v>
      </c>
      <c r="H50" s="37">
        <v>29455.170000000006</v>
      </c>
      <c r="J50" s="34" t="s">
        <v>35</v>
      </c>
      <c r="K50" s="37">
        <v>24556.229999999996</v>
      </c>
      <c r="M50" s="34" t="s">
        <v>35</v>
      </c>
      <c r="N50" s="37">
        <v>815.38</v>
      </c>
      <c r="P50" s="34" t="s">
        <v>35</v>
      </c>
      <c r="Q50" s="36">
        <v>2415</v>
      </c>
      <c r="S50" s="34" t="s">
        <v>35</v>
      </c>
      <c r="T50" s="37">
        <v>12675</v>
      </c>
      <c r="V50" s="34" t="s">
        <v>35</v>
      </c>
      <c r="W50" s="37">
        <v>0</v>
      </c>
      <c r="Y50" s="77" t="s">
        <v>35</v>
      </c>
      <c r="Z50" s="81">
        <v>-1106.22</v>
      </c>
    </row>
    <row r="51" spans="1:26" ht="15.75" thickBot="1">
      <c r="A51" s="34" t="s">
        <v>36</v>
      </c>
      <c r="B51" s="36">
        <v>65579.899999999994</v>
      </c>
      <c r="D51" s="34" t="s">
        <v>36</v>
      </c>
      <c r="E51" s="37">
        <v>26435</v>
      </c>
      <c r="G51" s="34" t="s">
        <v>36</v>
      </c>
      <c r="H51" s="37">
        <v>11145.23</v>
      </c>
      <c r="J51" s="34" t="s">
        <v>36</v>
      </c>
      <c r="K51" s="37">
        <v>54789.409999999989</v>
      </c>
      <c r="M51" s="34" t="s">
        <v>36</v>
      </c>
      <c r="N51" s="37">
        <v>1208.32</v>
      </c>
      <c r="P51" s="34" t="s">
        <v>36</v>
      </c>
      <c r="Q51" s="36">
        <v>8463</v>
      </c>
      <c r="S51" s="34" t="s">
        <v>36</v>
      </c>
      <c r="T51" s="37">
        <v>33944.47</v>
      </c>
      <c r="V51" s="34" t="s">
        <v>36</v>
      </c>
      <c r="W51" s="37">
        <v>0</v>
      </c>
      <c r="Y51" s="78" t="s">
        <v>36</v>
      </c>
      <c r="Z51" s="82">
        <v>0</v>
      </c>
    </row>
    <row r="52" spans="1:26">
      <c r="A52" s="38" t="s">
        <v>37</v>
      </c>
      <c r="B52" s="27">
        <f>SUM(B40:B51)</f>
        <v>727857.06</v>
      </c>
      <c r="C52" s="35"/>
      <c r="D52" s="38" t="s">
        <v>37</v>
      </c>
      <c r="E52" s="27">
        <f>SUM(E40:E51)</f>
        <v>233430</v>
      </c>
      <c r="F52" s="35"/>
      <c r="G52" s="38" t="s">
        <v>37</v>
      </c>
      <c r="H52" s="27">
        <f>SUM(H40:H51)</f>
        <v>134776.66</v>
      </c>
      <c r="I52" s="35"/>
      <c r="J52" s="38" t="s">
        <v>37</v>
      </c>
      <c r="K52" s="27">
        <f>SUM(K40:K51)</f>
        <v>533626.12000000011</v>
      </c>
      <c r="L52" s="35"/>
      <c r="M52" s="38" t="s">
        <v>37</v>
      </c>
      <c r="N52" s="27">
        <f>SUM(N40:N51)</f>
        <v>51882.960000000006</v>
      </c>
      <c r="P52" s="38" t="s">
        <v>37</v>
      </c>
      <c r="Q52" s="27">
        <f>SUM(Q40:Q51)</f>
        <v>87955.04</v>
      </c>
      <c r="S52" s="38" t="s">
        <v>37</v>
      </c>
      <c r="T52" s="27">
        <f>SUM(T40:T51)</f>
        <v>121322.90000000001</v>
      </c>
      <c r="V52" s="38" t="s">
        <v>37</v>
      </c>
      <c r="W52" s="27">
        <f>SUM(W40:W50)</f>
        <v>65700</v>
      </c>
      <c r="Y52" s="83" t="s">
        <v>37</v>
      </c>
      <c r="Z52" s="84">
        <f>SUM(Z40:Z51)</f>
        <v>-4165.13</v>
      </c>
    </row>
    <row r="53" spans="1:26">
      <c r="A53" s="39" t="s">
        <v>38</v>
      </c>
      <c r="B53" s="40">
        <f>(B40+B41+B42+B43+B44+B45+B46+B47+B48+B49+B50+B51)/12</f>
        <v>60654.755000000005</v>
      </c>
      <c r="C53" s="40"/>
      <c r="D53" s="41" t="s">
        <v>38</v>
      </c>
      <c r="E53" s="40">
        <f>(E40+E41+E42+E43+E44+E45+E46+E47+E48+E49+E50+E51)/12</f>
        <v>19452.5</v>
      </c>
      <c r="F53" s="40"/>
      <c r="G53" s="41" t="s">
        <v>38</v>
      </c>
      <c r="H53" s="40">
        <f>(H40+H41+H42+H43+H44+H45+H46+H47+H48+H49+H50+H51)/12</f>
        <v>11231.388333333334</v>
      </c>
      <c r="I53" s="40"/>
      <c r="J53" s="41" t="s">
        <v>38</v>
      </c>
      <c r="K53" s="40">
        <f>(K40+K41+K42+K43+K44+K45+K46+K47+K48+K49+K50+K51)/12</f>
        <v>44468.843333333345</v>
      </c>
      <c r="L53" s="40"/>
      <c r="M53" s="41" t="s">
        <v>38</v>
      </c>
      <c r="N53" s="40">
        <f>(N40+N41+N42+N43+N44+N45+N46+N47+N48+N49+N50+N51)/12</f>
        <v>4323.5800000000008</v>
      </c>
      <c r="P53" s="41" t="s">
        <v>38</v>
      </c>
      <c r="Q53" s="40">
        <f>(Q40+Q41+Q42+Q43+Q44+Q45+Q46+Q47+Q48+Q49+Q50+Q51)/12</f>
        <v>7329.5866666666661</v>
      </c>
      <c r="S53" s="41" t="s">
        <v>38</v>
      </c>
      <c r="T53" s="40">
        <f>(T40+T41+T42+T43+T44+T45+T46+T47+T48+T49+T50+T51)/12</f>
        <v>10110.241666666667</v>
      </c>
      <c r="V53" s="41" t="s">
        <v>38</v>
      </c>
      <c r="W53" s="40">
        <f>(W40+W41+W42+W43+W44+W45+W46+W47+W48)/9</f>
        <v>7300</v>
      </c>
      <c r="Y53" s="76"/>
      <c r="Z53" s="79"/>
    </row>
    <row r="55" spans="1:26">
      <c r="A55" s="8"/>
      <c r="B55" s="8"/>
      <c r="C55" s="8"/>
      <c r="D55" s="8"/>
      <c r="E55" s="8"/>
      <c r="F55" s="8"/>
      <c r="G55" s="8"/>
      <c r="H55" s="8"/>
    </row>
    <row r="56" spans="1:26" ht="19.5" thickBot="1">
      <c r="A56" s="877">
        <v>2023</v>
      </c>
      <c r="B56" s="878"/>
      <c r="C56" s="878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O56" s="878"/>
      <c r="P56" s="878"/>
      <c r="Q56" s="878"/>
      <c r="R56" s="878"/>
      <c r="S56" s="878"/>
      <c r="T56" s="878"/>
      <c r="U56" s="878"/>
      <c r="V56" s="878"/>
      <c r="W56" s="878"/>
      <c r="X56" s="878"/>
      <c r="Y56" s="878"/>
      <c r="Z56" s="878"/>
    </row>
    <row r="57" spans="1:26">
      <c r="A57" s="879" t="s">
        <v>17</v>
      </c>
      <c r="B57" s="880"/>
      <c r="C57" s="35"/>
      <c r="D57" s="879" t="s">
        <v>18</v>
      </c>
      <c r="E57" s="880"/>
      <c r="F57" s="35"/>
      <c r="G57" s="879" t="s">
        <v>19</v>
      </c>
      <c r="H57" s="880"/>
      <c r="I57" s="35"/>
      <c r="J57" s="879" t="s">
        <v>20</v>
      </c>
      <c r="K57" s="880"/>
      <c r="L57" s="35"/>
      <c r="M57" s="879" t="s">
        <v>21</v>
      </c>
      <c r="N57" s="880"/>
      <c r="P57" s="879" t="s">
        <v>22</v>
      </c>
      <c r="Q57" s="880"/>
      <c r="S57" s="879" t="s">
        <v>23</v>
      </c>
      <c r="T57" s="880"/>
      <c r="V57" s="881" t="s">
        <v>40</v>
      </c>
      <c r="W57" s="882"/>
    </row>
    <row r="58" spans="1:26">
      <c r="A58" s="42" t="s">
        <v>24</v>
      </c>
      <c r="B58" s="159">
        <v>77514.77</v>
      </c>
      <c r="C58" s="8"/>
      <c r="D58" s="42" t="s">
        <v>24</v>
      </c>
      <c r="E58" s="159">
        <v>17748.490000000002</v>
      </c>
      <c r="F58" s="8"/>
      <c r="G58" s="42" t="s">
        <v>24</v>
      </c>
      <c r="H58" s="159">
        <v>12647.6</v>
      </c>
      <c r="J58" s="42" t="s">
        <v>24</v>
      </c>
      <c r="K58" s="159">
        <v>98420.78</v>
      </c>
      <c r="M58" s="42" t="s">
        <v>24</v>
      </c>
      <c r="N58" s="159">
        <v>3519.94</v>
      </c>
      <c r="P58" s="42" t="s">
        <v>24</v>
      </c>
      <c r="Q58" s="159">
        <v>5796</v>
      </c>
      <c r="R58" s="8"/>
      <c r="S58" s="42" t="s">
        <v>24</v>
      </c>
      <c r="T58" s="159">
        <v>0</v>
      </c>
      <c r="V58" s="77" t="s">
        <v>24</v>
      </c>
      <c r="W58" s="80">
        <v>0</v>
      </c>
    </row>
    <row r="59" spans="1:26">
      <c r="A59" s="42" t="s">
        <v>25</v>
      </c>
      <c r="B59" s="159">
        <v>72336.210000000006</v>
      </c>
      <c r="C59" s="8"/>
      <c r="D59" s="42" t="s">
        <v>25</v>
      </c>
      <c r="E59" s="159">
        <v>12655</v>
      </c>
      <c r="F59" s="8"/>
      <c r="G59" s="42" t="s">
        <v>25</v>
      </c>
      <c r="H59" s="159">
        <v>18611.22</v>
      </c>
      <c r="J59" s="42" t="s">
        <v>25</v>
      </c>
      <c r="K59" s="159">
        <v>23855.439999999999</v>
      </c>
      <c r="M59" s="42" t="s">
        <v>25</v>
      </c>
      <c r="N59" s="159">
        <v>2942.5099999999998</v>
      </c>
      <c r="P59" s="42" t="s">
        <v>25</v>
      </c>
      <c r="Q59" s="158">
        <v>3341</v>
      </c>
      <c r="R59" s="8"/>
      <c r="S59" s="42" t="s">
        <v>25</v>
      </c>
      <c r="T59" s="159">
        <v>0</v>
      </c>
      <c r="V59" s="77" t="s">
        <v>25</v>
      </c>
      <c r="W59" s="80">
        <v>0</v>
      </c>
    </row>
    <row r="60" spans="1:26">
      <c r="A60" s="42" t="s">
        <v>26</v>
      </c>
      <c r="B60" s="159">
        <v>45458.380000000005</v>
      </c>
      <c r="C60" s="8"/>
      <c r="D60" s="42" t="s">
        <v>26</v>
      </c>
      <c r="E60" s="159">
        <v>3950</v>
      </c>
      <c r="F60" s="8"/>
      <c r="G60" s="42" t="s">
        <v>26</v>
      </c>
      <c r="H60" s="159">
        <v>3530.4999999999995</v>
      </c>
      <c r="J60" s="42" t="s">
        <v>26</v>
      </c>
      <c r="K60" s="159">
        <v>59225.349999999991</v>
      </c>
      <c r="M60" s="42" t="s">
        <v>26</v>
      </c>
      <c r="N60" s="159">
        <v>7924.880000000001</v>
      </c>
      <c r="P60" s="42" t="s">
        <v>26</v>
      </c>
      <c r="Q60" s="159">
        <v>2050</v>
      </c>
      <c r="R60" s="8"/>
      <c r="S60" s="42" t="s">
        <v>26</v>
      </c>
      <c r="T60" s="159">
        <v>0</v>
      </c>
      <c r="V60" s="77" t="s">
        <v>26</v>
      </c>
      <c r="W60" s="80">
        <v>0</v>
      </c>
    </row>
    <row r="61" spans="1:26">
      <c r="A61" s="42" t="s">
        <v>27</v>
      </c>
      <c r="B61" s="159">
        <v>95626.079999999987</v>
      </c>
      <c r="C61" s="8"/>
      <c r="D61" s="42" t="s">
        <v>27</v>
      </c>
      <c r="E61" s="159">
        <v>11265</v>
      </c>
      <c r="F61" s="8"/>
      <c r="G61" s="42" t="s">
        <v>27</v>
      </c>
      <c r="H61" s="159">
        <v>4343.5200000000004</v>
      </c>
      <c r="J61" s="42" t="s">
        <v>27</v>
      </c>
      <c r="K61" s="159">
        <v>80501.62000000001</v>
      </c>
      <c r="M61" s="42" t="s">
        <v>27</v>
      </c>
      <c r="N61" s="159">
        <v>460.2</v>
      </c>
      <c r="P61" s="42" t="s">
        <v>27</v>
      </c>
      <c r="Q61" s="159">
        <v>5983</v>
      </c>
      <c r="R61" s="8"/>
      <c r="S61" s="42" t="s">
        <v>27</v>
      </c>
      <c r="T61" s="159">
        <v>6127.81</v>
      </c>
      <c r="V61" s="77" t="s">
        <v>27</v>
      </c>
      <c r="W61" s="80">
        <v>0</v>
      </c>
    </row>
    <row r="62" spans="1:26">
      <c r="A62" s="42" t="s">
        <v>28</v>
      </c>
      <c r="B62" s="159">
        <v>37637.050000000003</v>
      </c>
      <c r="C62" s="8"/>
      <c r="D62" s="42" t="s">
        <v>28</v>
      </c>
      <c r="E62" s="159">
        <v>17710</v>
      </c>
      <c r="F62" s="8"/>
      <c r="G62" s="42" t="s">
        <v>28</v>
      </c>
      <c r="H62" s="159">
        <v>4482.76</v>
      </c>
      <c r="J62" s="42" t="s">
        <v>28</v>
      </c>
      <c r="K62" s="159">
        <v>48016.32</v>
      </c>
      <c r="M62" s="42" t="s">
        <v>28</v>
      </c>
      <c r="N62" s="159">
        <v>3904.62</v>
      </c>
      <c r="P62" s="42" t="s">
        <v>28</v>
      </c>
      <c r="Q62" s="159">
        <v>4625</v>
      </c>
      <c r="R62" s="8"/>
      <c r="S62" s="42" t="s">
        <v>28</v>
      </c>
      <c r="T62" s="159">
        <v>0</v>
      </c>
      <c r="V62" s="77" t="s">
        <v>28</v>
      </c>
      <c r="W62" s="80">
        <v>-4127.1400000000003</v>
      </c>
    </row>
    <row r="63" spans="1:26">
      <c r="A63" s="42" t="s">
        <v>29</v>
      </c>
      <c r="B63" s="159">
        <v>60741.06</v>
      </c>
      <c r="C63" s="8"/>
      <c r="D63" s="42" t="s">
        <v>29</v>
      </c>
      <c r="E63" s="159">
        <v>8971.25</v>
      </c>
      <c r="F63" s="8"/>
      <c r="G63" s="42" t="s">
        <v>29</v>
      </c>
      <c r="H63" s="159">
        <v>9007.44</v>
      </c>
      <c r="J63" s="42" t="s">
        <v>29</v>
      </c>
      <c r="K63" s="159">
        <v>25149.609999999997</v>
      </c>
      <c r="M63" s="42" t="s">
        <v>29</v>
      </c>
      <c r="N63" s="159">
        <v>4914.7</v>
      </c>
      <c r="P63" s="42" t="s">
        <v>29</v>
      </c>
      <c r="Q63" s="159">
        <v>9025</v>
      </c>
      <c r="R63" s="8"/>
      <c r="S63" s="42" t="s">
        <v>29</v>
      </c>
      <c r="T63" s="159">
        <v>0</v>
      </c>
      <c r="V63" s="77" t="s">
        <v>29</v>
      </c>
      <c r="W63" s="80">
        <v>0</v>
      </c>
    </row>
    <row r="64" spans="1:26">
      <c r="A64" s="42" t="s">
        <v>30</v>
      </c>
      <c r="B64" s="159">
        <v>87897.14</v>
      </c>
      <c r="C64" s="8"/>
      <c r="D64" s="42" t="s">
        <v>30</v>
      </c>
      <c r="E64" s="159">
        <v>16630</v>
      </c>
      <c r="F64" s="8"/>
      <c r="G64" s="42" t="s">
        <v>30</v>
      </c>
      <c r="H64" s="159">
        <v>8254.6200000000008</v>
      </c>
      <c r="J64" s="42" t="s">
        <v>30</v>
      </c>
      <c r="K64" s="159">
        <v>8254.6200000000008</v>
      </c>
      <c r="M64" s="42" t="s">
        <v>30</v>
      </c>
      <c r="N64" s="159">
        <v>1954.08</v>
      </c>
      <c r="P64" s="42" t="s">
        <v>30</v>
      </c>
      <c r="Q64" s="159">
        <v>8378</v>
      </c>
      <c r="R64" s="8"/>
      <c r="S64" s="42" t="s">
        <v>30</v>
      </c>
      <c r="T64" s="159">
        <v>8182.03</v>
      </c>
      <c r="V64" s="77" t="s">
        <v>30</v>
      </c>
      <c r="W64" s="80">
        <v>-2573.46</v>
      </c>
    </row>
    <row r="65" spans="1:26">
      <c r="A65" s="42" t="s">
        <v>31</v>
      </c>
      <c r="B65" s="159">
        <v>75682.59</v>
      </c>
      <c r="C65" s="8"/>
      <c r="D65" s="42" t="s">
        <v>31</v>
      </c>
      <c r="E65" s="159">
        <v>22443.96</v>
      </c>
      <c r="F65" s="8"/>
      <c r="G65" s="42" t="s">
        <v>31</v>
      </c>
      <c r="H65" s="159">
        <v>13871.02</v>
      </c>
      <c r="J65" s="42" t="s">
        <v>31</v>
      </c>
      <c r="K65" s="159">
        <v>87120.420000000013</v>
      </c>
      <c r="M65" s="42" t="s">
        <v>31</v>
      </c>
      <c r="N65" s="159">
        <v>1826.6399999999999</v>
      </c>
      <c r="P65" s="42" t="s">
        <v>31</v>
      </c>
      <c r="Q65" s="159">
        <v>4625</v>
      </c>
      <c r="R65" s="8"/>
      <c r="S65" s="42" t="s">
        <v>31</v>
      </c>
      <c r="T65" s="159">
        <v>53347.990000000005</v>
      </c>
      <c r="V65" s="77" t="s">
        <v>31</v>
      </c>
      <c r="W65" s="80">
        <v>0</v>
      </c>
    </row>
    <row r="66" spans="1:26">
      <c r="A66" s="42" t="s">
        <v>33</v>
      </c>
      <c r="B66" s="159">
        <v>40821.25</v>
      </c>
      <c r="C66" s="8"/>
      <c r="D66" s="42" t="s">
        <v>33</v>
      </c>
      <c r="E66" s="157">
        <v>16495</v>
      </c>
      <c r="F66" s="8"/>
      <c r="G66" s="42" t="s">
        <v>33</v>
      </c>
      <c r="H66" s="157">
        <v>13794.199999999999</v>
      </c>
      <c r="J66" s="42" t="s">
        <v>33</v>
      </c>
      <c r="K66" s="157">
        <v>33561.550000000003</v>
      </c>
      <c r="M66" s="42" t="s">
        <v>33</v>
      </c>
      <c r="N66" s="157">
        <v>2840.26</v>
      </c>
      <c r="P66" s="42" t="s">
        <v>33</v>
      </c>
      <c r="Q66" s="159">
        <v>8700</v>
      </c>
      <c r="R66" s="8"/>
      <c r="S66" s="42" t="s">
        <v>33</v>
      </c>
      <c r="T66" s="157">
        <v>19383.22</v>
      </c>
      <c r="V66" s="77" t="s">
        <v>33</v>
      </c>
      <c r="W66" s="131"/>
    </row>
    <row r="67" spans="1:26">
      <c r="A67" s="42" t="s">
        <v>34</v>
      </c>
      <c r="B67" s="159">
        <v>86320.87000000001</v>
      </c>
      <c r="C67" s="8"/>
      <c r="D67" s="42" t="s">
        <v>34</v>
      </c>
      <c r="E67" s="157">
        <v>21275</v>
      </c>
      <c r="F67" s="8"/>
      <c r="G67" s="42" t="s">
        <v>34</v>
      </c>
      <c r="H67" s="157">
        <v>9866.69</v>
      </c>
      <c r="J67" s="42" t="s">
        <v>34</v>
      </c>
      <c r="K67" s="157">
        <v>48925.299999999996</v>
      </c>
      <c r="M67" s="42" t="s">
        <v>34</v>
      </c>
      <c r="N67" s="157">
        <v>4360.6400000000003</v>
      </c>
      <c r="P67" s="42" t="s">
        <v>34</v>
      </c>
      <c r="Q67" s="159">
        <v>1250</v>
      </c>
      <c r="R67" s="8"/>
      <c r="S67" s="42" t="s">
        <v>34</v>
      </c>
      <c r="T67" s="157">
        <v>-6000</v>
      </c>
      <c r="V67" s="77" t="s">
        <v>34</v>
      </c>
      <c r="W67" s="81">
        <v>-1335.12</v>
      </c>
    </row>
    <row r="68" spans="1:26">
      <c r="A68" s="42" t="s">
        <v>35</v>
      </c>
      <c r="B68" s="159">
        <v>75697.62</v>
      </c>
      <c r="C68" s="8"/>
      <c r="D68" s="42" t="s">
        <v>35</v>
      </c>
      <c r="E68" s="157">
        <v>9130</v>
      </c>
      <c r="F68" s="8"/>
      <c r="G68" s="42" t="s">
        <v>35</v>
      </c>
      <c r="H68" s="157">
        <v>20753.169999999998</v>
      </c>
      <c r="J68" s="42" t="s">
        <v>35</v>
      </c>
      <c r="K68" s="157">
        <v>56654.400000000001</v>
      </c>
      <c r="M68" s="42" t="s">
        <v>35</v>
      </c>
      <c r="N68" s="157">
        <v>5689.96</v>
      </c>
      <c r="P68" s="42" t="s">
        <v>35</v>
      </c>
      <c r="Q68" s="159">
        <v>8252</v>
      </c>
      <c r="R68" s="8"/>
      <c r="S68" s="42" t="s">
        <v>35</v>
      </c>
      <c r="T68" s="157">
        <v>24410.18</v>
      </c>
      <c r="V68" s="77" t="s">
        <v>35</v>
      </c>
      <c r="W68" s="81"/>
    </row>
    <row r="69" spans="1:26" ht="15.75" thickBot="1">
      <c r="A69" s="34" t="s">
        <v>36</v>
      </c>
      <c r="B69" s="36">
        <v>82475.88</v>
      </c>
      <c r="D69" s="34" t="s">
        <v>36</v>
      </c>
      <c r="E69" s="37">
        <v>13350</v>
      </c>
      <c r="G69" s="34" t="s">
        <v>36</v>
      </c>
      <c r="H69" s="37">
        <v>16176.729999999998</v>
      </c>
      <c r="J69" s="34" t="s">
        <v>36</v>
      </c>
      <c r="K69" s="37">
        <v>32049.09</v>
      </c>
      <c r="M69" s="34" t="s">
        <v>36</v>
      </c>
      <c r="N69" s="37">
        <v>713.9</v>
      </c>
      <c r="P69" s="34" t="s">
        <v>36</v>
      </c>
      <c r="Q69" s="36">
        <v>12187</v>
      </c>
      <c r="S69" s="34" t="s">
        <v>36</v>
      </c>
      <c r="T69" s="157">
        <v>7633.6</v>
      </c>
      <c r="V69" s="78" t="s">
        <v>36</v>
      </c>
      <c r="W69" s="82"/>
    </row>
    <row r="70" spans="1:26">
      <c r="A70" s="38" t="s">
        <v>37</v>
      </c>
      <c r="B70" s="27">
        <f>SUM(B58:B69)</f>
        <v>838208.9</v>
      </c>
      <c r="C70" s="35"/>
      <c r="D70" s="38" t="s">
        <v>37</v>
      </c>
      <c r="E70" s="27">
        <f>SUM(E58:E69)</f>
        <v>171623.7</v>
      </c>
      <c r="F70" s="35"/>
      <c r="G70" s="38" t="s">
        <v>37</v>
      </c>
      <c r="H70" s="27">
        <f>SUM(H58:H69)</f>
        <v>135339.47</v>
      </c>
      <c r="I70" s="35"/>
      <c r="J70" s="38" t="s">
        <v>37</v>
      </c>
      <c r="K70" s="27">
        <f>SUM(K58:K69)</f>
        <v>601734.5</v>
      </c>
      <c r="L70" s="35"/>
      <c r="M70" s="38" t="s">
        <v>37</v>
      </c>
      <c r="N70" s="27">
        <f>SUM(N58:N69)</f>
        <v>41052.33</v>
      </c>
      <c r="P70" s="38" t="s">
        <v>37</v>
      </c>
      <c r="Q70" s="27">
        <f>SUM(Q58:Q69)</f>
        <v>74212</v>
      </c>
      <c r="S70" s="38" t="s">
        <v>37</v>
      </c>
      <c r="T70" s="224">
        <f>SUM(T58:T69)</f>
        <v>113084.83000000002</v>
      </c>
      <c r="V70" s="83" t="s">
        <v>37</v>
      </c>
      <c r="W70" s="84">
        <f>SUM(W58:W69)</f>
        <v>-8035.72</v>
      </c>
    </row>
    <row r="71" spans="1:26" s="8" customFormat="1">
      <c r="A71" s="74" t="s">
        <v>38</v>
      </c>
      <c r="B71" s="75">
        <f>(B58+B59+B60+B61+B62+B63+B64+B65+B66+B67+B68+B69)/12</f>
        <v>69850.741666666669</v>
      </c>
      <c r="C71" s="75"/>
      <c r="D71" s="76" t="s">
        <v>38</v>
      </c>
      <c r="E71" s="75">
        <f>(E58+E59+E60+E61+E62+E63+E64+E65+E66+E67+E68+E69)/12</f>
        <v>14301.975</v>
      </c>
      <c r="F71" s="75"/>
      <c r="G71" s="76" t="s">
        <v>38</v>
      </c>
      <c r="H71" s="75">
        <f>(H58+H59+H60+H61+H62+H63+H64+H65+H66+H67+H68+H69)/12</f>
        <v>11278.289166666667</v>
      </c>
      <c r="I71" s="75"/>
      <c r="J71" s="76" t="s">
        <v>38</v>
      </c>
      <c r="K71" s="75">
        <f>(K58+K59+K60+K61+K62+K63+K64+K65+K66+K67+K68+K69)/12</f>
        <v>50144.541666666664</v>
      </c>
      <c r="L71" s="75"/>
      <c r="M71" s="76" t="s">
        <v>38</v>
      </c>
      <c r="N71" s="75">
        <f>(N58+N59+N60+N61+N62+N63+N64+N65+N66+N67+N68+N69)/12</f>
        <v>3421.0275000000001</v>
      </c>
      <c r="P71" s="76" t="s">
        <v>38</v>
      </c>
      <c r="Q71" s="75">
        <f>(Q58+Q59+Q60+Q61+Q62+Q63+Q64+Q65+Q66+Q67+Q68+Q69)/12</f>
        <v>6184.333333333333</v>
      </c>
      <c r="S71" s="76" t="s">
        <v>38</v>
      </c>
      <c r="T71" s="75">
        <f>(T58+T59+T60+T61+T62+T63+T64+T65+T66+T67+T68+T69)/12</f>
        <v>9423.7358333333341</v>
      </c>
      <c r="V71" s="76" t="s">
        <v>38</v>
      </c>
      <c r="W71" s="225">
        <f>(W58+W59+W60+W61+W62+W63+W64+W65+W66+W67+W68+W69)/12</f>
        <v>-669.64333333333332</v>
      </c>
      <c r="Y71" s="76"/>
      <c r="Z71" s="79"/>
    </row>
    <row r="73" spans="1:26" ht="19.5" thickBot="1">
      <c r="A73" s="877">
        <v>2024</v>
      </c>
      <c r="B73" s="878"/>
      <c r="C73" s="878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O73" s="878"/>
      <c r="P73" s="878"/>
      <c r="Q73" s="878"/>
      <c r="R73" s="878"/>
      <c r="S73" s="878"/>
      <c r="T73" s="878"/>
      <c r="U73" s="878"/>
      <c r="V73" s="878"/>
      <c r="W73" s="878"/>
      <c r="X73" s="878"/>
      <c r="Y73" s="878"/>
      <c r="Z73" s="878"/>
    </row>
    <row r="74" spans="1:26">
      <c r="A74" s="879" t="s">
        <v>17</v>
      </c>
      <c r="B74" s="880"/>
      <c r="C74" s="35"/>
      <c r="D74" s="879" t="s">
        <v>18</v>
      </c>
      <c r="E74" s="880"/>
      <c r="F74" s="35"/>
      <c r="G74" s="879" t="s">
        <v>19</v>
      </c>
      <c r="H74" s="880"/>
      <c r="I74" s="35"/>
      <c r="J74" s="879" t="s">
        <v>20</v>
      </c>
      <c r="K74" s="880"/>
      <c r="L74" s="35"/>
      <c r="M74" s="879" t="s">
        <v>21</v>
      </c>
      <c r="N74" s="880"/>
      <c r="P74" s="879" t="s">
        <v>22</v>
      </c>
      <c r="Q74" s="880"/>
      <c r="S74" s="879" t="s">
        <v>23</v>
      </c>
      <c r="T74" s="880"/>
      <c r="V74" s="881" t="s">
        <v>40</v>
      </c>
      <c r="W74" s="882"/>
    </row>
    <row r="75" spans="1:26">
      <c r="A75" s="42" t="s">
        <v>24</v>
      </c>
      <c r="B75" s="36">
        <v>95869.1</v>
      </c>
      <c r="D75" s="42" t="s">
        <v>24</v>
      </c>
      <c r="E75" s="36">
        <v>29420</v>
      </c>
      <c r="G75" s="42" t="s">
        <v>24</v>
      </c>
      <c r="H75" s="36">
        <v>8768.7999999999993</v>
      </c>
      <c r="J75" s="42" t="s">
        <v>24</v>
      </c>
      <c r="K75" s="36">
        <v>75755.210000000006</v>
      </c>
      <c r="M75" s="42" t="s">
        <v>24</v>
      </c>
      <c r="N75" s="36">
        <v>6072.28</v>
      </c>
      <c r="P75" s="42" t="s">
        <v>24</v>
      </c>
      <c r="Q75" s="36">
        <v>5429</v>
      </c>
      <c r="R75" s="8"/>
      <c r="S75" s="42" t="s">
        <v>24</v>
      </c>
      <c r="T75" s="36">
        <v>0</v>
      </c>
      <c r="V75" s="77" t="s">
        <v>24</v>
      </c>
      <c r="W75" s="562">
        <v>0</v>
      </c>
    </row>
    <row r="76" spans="1:26">
      <c r="A76" s="42" t="s">
        <v>25</v>
      </c>
      <c r="B76" s="498">
        <v>62034.69</v>
      </c>
      <c r="D76" s="42" t="s">
        <v>25</v>
      </c>
      <c r="E76" s="36">
        <v>6400</v>
      </c>
      <c r="G76" s="42" t="s">
        <v>25</v>
      </c>
      <c r="H76" s="36">
        <v>2780.74</v>
      </c>
      <c r="J76" s="42" t="s">
        <v>25</v>
      </c>
      <c r="K76" s="36">
        <v>44224.2</v>
      </c>
      <c r="M76" s="42" t="s">
        <v>25</v>
      </c>
      <c r="N76" s="36">
        <v>1078.52</v>
      </c>
      <c r="P76" s="42" t="s">
        <v>25</v>
      </c>
      <c r="Q76" s="36">
        <v>5539</v>
      </c>
      <c r="R76" s="8"/>
      <c r="S76" s="42" t="s">
        <v>25</v>
      </c>
      <c r="T76" s="36">
        <v>0</v>
      </c>
      <c r="V76" s="77" t="s">
        <v>25</v>
      </c>
      <c r="W76" s="562">
        <v>0</v>
      </c>
    </row>
    <row r="77" spans="1:26">
      <c r="A77" s="42" t="s">
        <v>26</v>
      </c>
      <c r="B77" s="36">
        <v>96391.33</v>
      </c>
      <c r="D77" s="42" t="s">
        <v>26</v>
      </c>
      <c r="E77" s="36">
        <v>24910</v>
      </c>
      <c r="G77" s="42" t="s">
        <v>26</v>
      </c>
      <c r="H77" s="36">
        <v>9082.14</v>
      </c>
      <c r="J77" s="42" t="s">
        <v>26</v>
      </c>
      <c r="K77" s="36">
        <v>70916.929999999993</v>
      </c>
      <c r="M77" s="42" t="s">
        <v>26</v>
      </c>
      <c r="N77" s="36">
        <v>10690.81</v>
      </c>
      <c r="P77" s="42" t="s">
        <v>26</v>
      </c>
      <c r="Q77" s="36">
        <v>8580</v>
      </c>
      <c r="R77" s="8"/>
      <c r="S77" s="42" t="s">
        <v>26</v>
      </c>
      <c r="T77" s="36">
        <v>20433</v>
      </c>
      <c r="V77" s="77" t="s">
        <v>26</v>
      </c>
      <c r="W77" s="562">
        <v>-2870.34</v>
      </c>
    </row>
    <row r="78" spans="1:26">
      <c r="A78" s="42" t="s">
        <v>27</v>
      </c>
      <c r="B78" s="498">
        <v>54286.31</v>
      </c>
      <c r="D78" s="42" t="s">
        <v>27</v>
      </c>
      <c r="E78" s="36">
        <v>9070</v>
      </c>
      <c r="G78" s="42" t="s">
        <v>27</v>
      </c>
      <c r="H78" s="36">
        <v>14420.85</v>
      </c>
      <c r="J78" s="42" t="s">
        <v>27</v>
      </c>
      <c r="K78" s="36">
        <v>56303.56</v>
      </c>
      <c r="M78" s="42" t="s">
        <v>27</v>
      </c>
      <c r="N78" s="36">
        <v>6451.06</v>
      </c>
      <c r="P78" s="42" t="s">
        <v>27</v>
      </c>
      <c r="Q78" s="36">
        <v>4100</v>
      </c>
      <c r="R78" s="8"/>
      <c r="S78" s="42" t="s">
        <v>27</v>
      </c>
      <c r="T78" s="36">
        <v>9696.06</v>
      </c>
      <c r="V78" s="77" t="s">
        <v>27</v>
      </c>
      <c r="W78" s="562">
        <v>0</v>
      </c>
    </row>
    <row r="79" spans="1:26">
      <c r="A79" s="42" t="s">
        <v>28</v>
      </c>
      <c r="B79" s="36">
        <v>42091.09</v>
      </c>
      <c r="D79" s="42" t="s">
        <v>28</v>
      </c>
      <c r="E79" s="36">
        <v>38210</v>
      </c>
      <c r="G79" s="42" t="s">
        <v>28</v>
      </c>
      <c r="H79" s="36">
        <v>5965.08</v>
      </c>
      <c r="J79" s="42" t="s">
        <v>28</v>
      </c>
      <c r="K79" s="36">
        <v>22131.21</v>
      </c>
      <c r="M79" s="42" t="s">
        <v>28</v>
      </c>
      <c r="N79" s="36">
        <v>0</v>
      </c>
      <c r="P79" s="42" t="s">
        <v>28</v>
      </c>
      <c r="Q79" s="36">
        <v>9480</v>
      </c>
      <c r="R79" s="8"/>
      <c r="S79" s="42" t="s">
        <v>28</v>
      </c>
      <c r="T79" s="36">
        <v>11984.97</v>
      </c>
      <c r="V79" s="77" t="s">
        <v>28</v>
      </c>
      <c r="W79" s="562">
        <v>0</v>
      </c>
    </row>
    <row r="80" spans="1:26">
      <c r="A80" s="42" t="s">
        <v>29</v>
      </c>
      <c r="B80" s="498">
        <v>99190.74</v>
      </c>
      <c r="D80" s="42" t="s">
        <v>29</v>
      </c>
      <c r="E80" s="36">
        <v>23225</v>
      </c>
      <c r="G80" s="42" t="s">
        <v>29</v>
      </c>
      <c r="H80" s="36">
        <v>15294.35</v>
      </c>
      <c r="J80" s="42" t="s">
        <v>29</v>
      </c>
      <c r="K80" s="36">
        <v>79539.460000000006</v>
      </c>
      <c r="M80" s="42" t="s">
        <v>29</v>
      </c>
      <c r="N80" s="36">
        <v>10590.03</v>
      </c>
      <c r="P80" s="42" t="s">
        <v>29</v>
      </c>
      <c r="Q80" s="36">
        <v>1964</v>
      </c>
      <c r="R80" s="8"/>
      <c r="S80" s="42" t="s">
        <v>29</v>
      </c>
      <c r="T80" s="36">
        <v>2953</v>
      </c>
      <c r="V80" s="77" t="s">
        <v>29</v>
      </c>
      <c r="W80" s="562">
        <v>0</v>
      </c>
    </row>
    <row r="81" spans="1:26">
      <c r="A81" s="42" t="s">
        <v>30</v>
      </c>
      <c r="B81" s="36">
        <v>46057.67</v>
      </c>
      <c r="D81" s="42" t="s">
        <v>30</v>
      </c>
      <c r="E81" s="36">
        <v>16950</v>
      </c>
      <c r="G81" s="42" t="s">
        <v>30</v>
      </c>
      <c r="H81" s="36">
        <v>10188.51</v>
      </c>
      <c r="J81" s="42" t="s">
        <v>30</v>
      </c>
      <c r="K81" s="36">
        <v>67284.2</v>
      </c>
      <c r="M81" s="42" t="s">
        <v>30</v>
      </c>
      <c r="N81" s="36">
        <v>2277</v>
      </c>
      <c r="P81" s="42" t="s">
        <v>30</v>
      </c>
      <c r="Q81" s="36">
        <v>6632</v>
      </c>
      <c r="R81" s="8"/>
      <c r="S81" s="42" t="s">
        <v>30</v>
      </c>
      <c r="T81" s="36">
        <v>20239.98</v>
      </c>
      <c r="V81" s="77" t="s">
        <v>30</v>
      </c>
      <c r="W81" s="562">
        <v>0</v>
      </c>
    </row>
    <row r="82" spans="1:26">
      <c r="A82" s="42" t="s">
        <v>31</v>
      </c>
      <c r="B82" s="498">
        <v>33252.97</v>
      </c>
      <c r="D82" s="42" t="s">
        <v>31</v>
      </c>
      <c r="E82" s="36">
        <v>11650</v>
      </c>
      <c r="G82" s="42" t="s">
        <v>31</v>
      </c>
      <c r="H82" s="36">
        <v>15167.57</v>
      </c>
      <c r="J82" s="42" t="s">
        <v>31</v>
      </c>
      <c r="K82" s="36">
        <v>43283.31</v>
      </c>
      <c r="M82" s="42" t="s">
        <v>31</v>
      </c>
      <c r="N82" s="36">
        <v>5201.45</v>
      </c>
      <c r="P82" s="42" t="s">
        <v>31</v>
      </c>
      <c r="Q82" s="36">
        <v>9629</v>
      </c>
      <c r="R82" s="8"/>
      <c r="S82" s="42" t="s">
        <v>31</v>
      </c>
      <c r="T82" s="36">
        <v>0</v>
      </c>
      <c r="V82" s="77" t="s">
        <v>31</v>
      </c>
      <c r="W82" s="562">
        <v>-2508.0100000000002</v>
      </c>
    </row>
    <row r="83" spans="1:26">
      <c r="A83" s="42" t="s">
        <v>33</v>
      </c>
      <c r="B83" s="498">
        <v>59614.86</v>
      </c>
      <c r="D83" s="42" t="s">
        <v>33</v>
      </c>
      <c r="E83" s="36">
        <v>26883.8</v>
      </c>
      <c r="G83" s="42" t="s">
        <v>33</v>
      </c>
      <c r="H83" s="36">
        <v>17668.310000000001</v>
      </c>
      <c r="J83" s="42" t="s">
        <v>33</v>
      </c>
      <c r="K83" s="36">
        <v>35071.870000000003</v>
      </c>
      <c r="M83" s="42" t="s">
        <v>33</v>
      </c>
      <c r="N83" s="36">
        <v>10127.17</v>
      </c>
      <c r="P83" s="42" t="s">
        <v>33</v>
      </c>
      <c r="Q83" s="36">
        <v>0</v>
      </c>
      <c r="R83" s="8"/>
      <c r="S83" s="42" t="s">
        <v>33</v>
      </c>
      <c r="T83" s="36">
        <v>7974.97</v>
      </c>
      <c r="V83" s="77" t="s">
        <v>33</v>
      </c>
      <c r="W83" s="563">
        <v>0</v>
      </c>
    </row>
    <row r="84" spans="1:26">
      <c r="A84" s="42" t="s">
        <v>34</v>
      </c>
      <c r="B84" s="498">
        <v>64416.62</v>
      </c>
      <c r="D84" s="42" t="s">
        <v>34</v>
      </c>
      <c r="E84" s="36">
        <v>14385</v>
      </c>
      <c r="G84" s="42" t="s">
        <v>34</v>
      </c>
      <c r="H84" s="36">
        <v>13213.3</v>
      </c>
      <c r="J84" s="42" t="s">
        <v>34</v>
      </c>
      <c r="K84" s="36">
        <v>57651.16</v>
      </c>
      <c r="M84" s="42" t="s">
        <v>34</v>
      </c>
      <c r="N84" s="36">
        <v>1735.79</v>
      </c>
      <c r="P84" s="42" t="s">
        <v>34</v>
      </c>
      <c r="Q84" s="36">
        <v>19361</v>
      </c>
      <c r="S84" s="42" t="s">
        <v>34</v>
      </c>
      <c r="T84" s="36">
        <v>4218</v>
      </c>
      <c r="V84" s="77" t="s">
        <v>34</v>
      </c>
      <c r="W84" s="562">
        <v>0</v>
      </c>
    </row>
    <row r="85" spans="1:26">
      <c r="A85" s="34" t="s">
        <v>35</v>
      </c>
      <c r="B85" s="36">
        <v>82345.710000000006</v>
      </c>
      <c r="D85" s="34" t="s">
        <v>35</v>
      </c>
      <c r="E85" s="36">
        <v>38650</v>
      </c>
      <c r="G85" s="42" t="s">
        <v>35</v>
      </c>
      <c r="H85" s="36">
        <v>18134.98</v>
      </c>
      <c r="J85" s="34" t="s">
        <v>35</v>
      </c>
      <c r="K85" s="36">
        <v>98415.45</v>
      </c>
      <c r="M85" s="34" t="s">
        <v>35</v>
      </c>
      <c r="N85" s="36">
        <v>7930.78</v>
      </c>
      <c r="P85" s="34" t="s">
        <v>35</v>
      </c>
      <c r="Q85" s="498">
        <v>7164</v>
      </c>
      <c r="S85" s="34" t="s">
        <v>35</v>
      </c>
      <c r="T85" s="36">
        <v>37344.980000000003</v>
      </c>
      <c r="V85" s="77" t="s">
        <v>35</v>
      </c>
      <c r="W85" s="562">
        <v>-1973.83</v>
      </c>
    </row>
    <row r="86" spans="1:26" ht="15.75" thickBot="1">
      <c r="A86" s="34" t="s">
        <v>36</v>
      </c>
      <c r="B86" s="498">
        <v>105221.42</v>
      </c>
      <c r="D86" s="34" t="s">
        <v>36</v>
      </c>
      <c r="E86" s="36">
        <v>15050</v>
      </c>
      <c r="G86" s="34" t="s">
        <v>36</v>
      </c>
      <c r="H86" s="36">
        <v>26736.09</v>
      </c>
      <c r="J86" s="34" t="s">
        <v>36</v>
      </c>
      <c r="K86" s="36">
        <v>20430.240000000002</v>
      </c>
      <c r="M86" s="34" t="s">
        <v>36</v>
      </c>
      <c r="N86" s="36">
        <v>3383.06</v>
      </c>
      <c r="P86" s="34" t="s">
        <v>36</v>
      </c>
      <c r="Q86" s="498">
        <v>4467</v>
      </c>
      <c r="S86" s="34" t="s">
        <v>36</v>
      </c>
      <c r="T86" s="36">
        <v>12437.2</v>
      </c>
      <c r="V86" s="78" t="s">
        <v>36</v>
      </c>
      <c r="W86" s="562">
        <v>0</v>
      </c>
    </row>
    <row r="87" spans="1:26">
      <c r="A87" s="38" t="s">
        <v>37</v>
      </c>
      <c r="B87" s="27">
        <f>SUM(B75:B86)</f>
        <v>840772.51</v>
      </c>
      <c r="C87" s="35"/>
      <c r="D87" s="38" t="s">
        <v>37</v>
      </c>
      <c r="E87" s="27">
        <f>SUM(E75:E86)</f>
        <v>254803.8</v>
      </c>
      <c r="F87" s="35"/>
      <c r="G87" s="38" t="s">
        <v>37</v>
      </c>
      <c r="H87" s="27">
        <f>SUM(H75:H86)</f>
        <v>157420.72</v>
      </c>
      <c r="I87" s="35"/>
      <c r="J87" s="38" t="s">
        <v>37</v>
      </c>
      <c r="K87" s="27">
        <f>SUM(K75:K86)</f>
        <v>671006.79999999993</v>
      </c>
      <c r="L87" s="35"/>
      <c r="M87" s="38" t="s">
        <v>37</v>
      </c>
      <c r="N87" s="27">
        <f>SUM(N75:N86)</f>
        <v>65537.95</v>
      </c>
      <c r="P87" s="38" t="s">
        <v>37</v>
      </c>
      <c r="Q87" s="27">
        <f>SUM(Q75:Q86)</f>
        <v>82345</v>
      </c>
      <c r="S87" s="38" t="s">
        <v>37</v>
      </c>
      <c r="T87" s="27">
        <f>SUM(T75:T86)</f>
        <v>127282.15999999999</v>
      </c>
      <c r="V87" s="83" t="s">
        <v>37</v>
      </c>
      <c r="W87" s="84">
        <f>SUM(W75:W86)</f>
        <v>-7352.18</v>
      </c>
    </row>
    <row r="88" spans="1:26">
      <c r="A88" s="74" t="s">
        <v>38</v>
      </c>
      <c r="B88" s="75">
        <f>(B75+B76+B77+B78+B79+B80+B81+B82+B83+B84+B85+B86)/12</f>
        <v>70064.375833333339</v>
      </c>
      <c r="C88" s="75"/>
      <c r="D88" s="76" t="s">
        <v>38</v>
      </c>
      <c r="E88" s="75">
        <f>(E75+E76+E77+E78+E79+E80+E81+E82+E83+E84+E85+E86)/12</f>
        <v>21233.649999999998</v>
      </c>
      <c r="F88" s="75"/>
      <c r="G88" s="76" t="s">
        <v>38</v>
      </c>
      <c r="H88" s="75">
        <f>(H75+H76+H77+H78+H79+H80+H81+H82+H83+H84+H85+H86)/12</f>
        <v>13118.393333333333</v>
      </c>
      <c r="I88" s="75"/>
      <c r="J88" s="76" t="s">
        <v>38</v>
      </c>
      <c r="K88" s="75">
        <f>(K75+K76+K77+K78+K79+K80+K81+K82+K83+K84+K85+K86)/12</f>
        <v>55917.23333333333</v>
      </c>
      <c r="L88" s="75"/>
      <c r="M88" s="76" t="s">
        <v>38</v>
      </c>
      <c r="N88" s="75">
        <f>(N75+N76+N77+N78+N79+N80+N81+N82+N83+N84+N85+N86)/12</f>
        <v>5461.4958333333334</v>
      </c>
      <c r="O88" s="8"/>
      <c r="P88" s="76" t="s">
        <v>38</v>
      </c>
      <c r="Q88" s="75">
        <f>(Q75+Q76+Q77+Q78+Q79+Q80+Q81+Q82+Q83+Q84+Q85+Q86)/12</f>
        <v>6862.083333333333</v>
      </c>
      <c r="R88" s="8"/>
      <c r="S88" s="76" t="s">
        <v>38</v>
      </c>
      <c r="T88" s="75">
        <f>(T75+T76+T77+T78+T79+T80+T81+T82+T83+T84+T85+T86)/12</f>
        <v>10606.846666666666</v>
      </c>
      <c r="U88" s="8"/>
      <c r="V88" s="76" t="s">
        <v>38</v>
      </c>
      <c r="W88" s="225">
        <f>(W75+W76+W77+W78+W79+W80+W81+W82+W83+W84+W85+W86)/12</f>
        <v>-612.68166666666673</v>
      </c>
      <c r="X88" s="8"/>
      <c r="Y88" s="76"/>
      <c r="Z88" s="79"/>
    </row>
    <row r="91" spans="1:26" ht="18.600000000000001" customHeight="1">
      <c r="A91" s="877">
        <v>2025</v>
      </c>
      <c r="B91" s="878"/>
      <c r="C91" s="878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O91" s="878"/>
      <c r="P91" s="878"/>
      <c r="Q91" s="878"/>
      <c r="R91" s="878"/>
      <c r="S91" s="878"/>
      <c r="T91" s="878"/>
      <c r="U91" s="878"/>
      <c r="V91" s="878"/>
      <c r="W91" s="878"/>
      <c r="X91" s="878"/>
      <c r="Y91" s="878"/>
      <c r="Z91" s="878"/>
    </row>
    <row r="92" spans="1:26" ht="14.45" customHeight="1">
      <c r="A92" s="879" t="s">
        <v>17</v>
      </c>
      <c r="B92" s="880"/>
      <c r="C92" s="35"/>
      <c r="D92" s="879" t="s">
        <v>18</v>
      </c>
      <c r="E92" s="880"/>
      <c r="F92" s="35"/>
      <c r="G92" s="879" t="s">
        <v>19</v>
      </c>
      <c r="H92" s="880"/>
      <c r="I92" s="35"/>
      <c r="J92" s="879" t="s">
        <v>20</v>
      </c>
      <c r="K92" s="880"/>
      <c r="L92" s="35"/>
      <c r="M92" s="879" t="s">
        <v>21</v>
      </c>
      <c r="N92" s="880"/>
      <c r="P92" s="879" t="s">
        <v>22</v>
      </c>
      <c r="Q92" s="880"/>
      <c r="S92" s="879" t="s">
        <v>23</v>
      </c>
      <c r="T92" s="880"/>
      <c r="V92" s="881" t="s">
        <v>40</v>
      </c>
      <c r="W92" s="882"/>
    </row>
    <row r="93" spans="1:26" ht="14.45" customHeight="1">
      <c r="A93" s="42" t="s">
        <v>24</v>
      </c>
      <c r="B93" s="156">
        <v>82163.7</v>
      </c>
      <c r="D93" s="42" t="s">
        <v>24</v>
      </c>
      <c r="E93" s="156">
        <v>13850</v>
      </c>
      <c r="G93" s="42" t="s">
        <v>24</v>
      </c>
      <c r="H93" s="156">
        <v>16499.330000000002</v>
      </c>
      <c r="J93" s="42" t="s">
        <v>24</v>
      </c>
      <c r="K93" s="156">
        <v>46425.15</v>
      </c>
      <c r="M93" s="42" t="s">
        <v>24</v>
      </c>
      <c r="N93" s="156">
        <v>0</v>
      </c>
      <c r="P93" s="42" t="s">
        <v>24</v>
      </c>
      <c r="Q93" s="156">
        <v>2250</v>
      </c>
      <c r="R93" s="8"/>
      <c r="S93" s="42" t="s">
        <v>24</v>
      </c>
      <c r="T93" s="156">
        <v>0</v>
      </c>
      <c r="V93" s="77" t="s">
        <v>24</v>
      </c>
      <c r="W93" s="562">
        <v>880.24</v>
      </c>
    </row>
    <row r="94" spans="1:26" ht="14.45" customHeight="1">
      <c r="A94" s="42" t="s">
        <v>25</v>
      </c>
      <c r="B94" s="156">
        <v>70390.7</v>
      </c>
      <c r="D94" s="42" t="s">
        <v>25</v>
      </c>
      <c r="E94" s="156">
        <v>17345</v>
      </c>
      <c r="G94" s="42" t="s">
        <v>25</v>
      </c>
      <c r="H94" s="156">
        <v>20685.91</v>
      </c>
      <c r="J94" s="42" t="s">
        <v>25</v>
      </c>
      <c r="K94" s="156">
        <v>61729.82</v>
      </c>
      <c r="M94" s="42" t="s">
        <v>25</v>
      </c>
      <c r="N94" s="156">
        <v>2819.02</v>
      </c>
      <c r="P94" s="42" t="s">
        <v>25</v>
      </c>
      <c r="Q94" s="158">
        <v>6975</v>
      </c>
      <c r="R94" s="8"/>
      <c r="S94" s="42" t="s">
        <v>25</v>
      </c>
      <c r="T94" s="156">
        <v>14935</v>
      </c>
      <c r="V94" s="77" t="s">
        <v>25</v>
      </c>
      <c r="W94" s="562">
        <v>0</v>
      </c>
    </row>
    <row r="95" spans="1:26" ht="14.45" customHeight="1">
      <c r="A95" s="42" t="s">
        <v>26</v>
      </c>
      <c r="B95" s="156">
        <v>73356.149999999994</v>
      </c>
      <c r="D95" s="42" t="s">
        <v>26</v>
      </c>
      <c r="E95" s="156">
        <v>16375</v>
      </c>
      <c r="G95" s="42" t="s">
        <v>26</v>
      </c>
      <c r="H95" s="156">
        <v>18211.54</v>
      </c>
      <c r="J95" s="42" t="s">
        <v>26</v>
      </c>
      <c r="K95" s="156">
        <v>79765.97</v>
      </c>
      <c r="M95" s="42" t="s">
        <v>26</v>
      </c>
      <c r="N95" s="156">
        <v>9410</v>
      </c>
      <c r="P95" s="42" t="s">
        <v>26</v>
      </c>
      <c r="Q95" s="156">
        <v>4724</v>
      </c>
      <c r="R95" s="8"/>
      <c r="S95" s="42" t="s">
        <v>26</v>
      </c>
      <c r="T95" s="156">
        <v>0</v>
      </c>
      <c r="V95" s="77" t="s">
        <v>26</v>
      </c>
      <c r="W95" s="562">
        <v>0</v>
      </c>
    </row>
    <row r="96" spans="1:26" ht="14.45" customHeight="1">
      <c r="A96" s="42" t="s">
        <v>27</v>
      </c>
      <c r="B96" s="156">
        <v>139227.44</v>
      </c>
      <c r="D96" s="42" t="s">
        <v>27</v>
      </c>
      <c r="E96" s="156">
        <v>26550</v>
      </c>
      <c r="G96" s="42" t="s">
        <v>27</v>
      </c>
      <c r="H96" s="156">
        <v>12863</v>
      </c>
      <c r="J96" s="42" t="s">
        <v>27</v>
      </c>
      <c r="K96" s="156">
        <v>58866.37</v>
      </c>
      <c r="M96" s="42" t="s">
        <v>27</v>
      </c>
      <c r="N96" s="156">
        <v>5330.06</v>
      </c>
      <c r="P96" s="42" t="s">
        <v>27</v>
      </c>
      <c r="Q96" s="156">
        <v>7360</v>
      </c>
      <c r="R96" s="8"/>
      <c r="S96" s="42" t="s">
        <v>27</v>
      </c>
      <c r="T96" s="156">
        <v>28412.01</v>
      </c>
      <c r="V96" s="77" t="s">
        <v>27</v>
      </c>
      <c r="W96" s="562">
        <v>1287.06</v>
      </c>
    </row>
    <row r="97" spans="1:26" ht="14.45" customHeight="1">
      <c r="A97" s="42" t="s">
        <v>28</v>
      </c>
      <c r="B97" s="156">
        <v>65611.600000000006</v>
      </c>
      <c r="D97" s="42" t="s">
        <v>28</v>
      </c>
      <c r="E97" s="156">
        <v>13700</v>
      </c>
      <c r="G97" s="42" t="s">
        <v>28</v>
      </c>
      <c r="H97" s="156">
        <v>17700</v>
      </c>
      <c r="J97" s="42" t="s">
        <v>28</v>
      </c>
      <c r="K97" s="156">
        <v>92049.34</v>
      </c>
      <c r="M97" s="42" t="s">
        <v>28</v>
      </c>
      <c r="N97" s="156">
        <v>2778.9</v>
      </c>
      <c r="P97" s="42" t="s">
        <v>28</v>
      </c>
      <c r="Q97" s="156">
        <v>3000</v>
      </c>
      <c r="R97" s="8"/>
      <c r="S97" s="42" t="s">
        <v>28</v>
      </c>
      <c r="T97" s="156">
        <v>0</v>
      </c>
      <c r="V97" s="77" t="s">
        <v>28</v>
      </c>
      <c r="W97" s="562">
        <v>0</v>
      </c>
    </row>
    <row r="98" spans="1:26" ht="14.45" customHeight="1">
      <c r="A98" s="42" t="s">
        <v>29</v>
      </c>
      <c r="B98" s="156">
        <v>116222.47</v>
      </c>
      <c r="D98" s="42" t="s">
        <v>29</v>
      </c>
      <c r="E98" s="156">
        <v>19675</v>
      </c>
      <c r="G98" s="42" t="s">
        <v>29</v>
      </c>
      <c r="H98" s="156">
        <v>22835.84</v>
      </c>
      <c r="J98" s="42" t="s">
        <v>29</v>
      </c>
      <c r="K98" s="156">
        <v>46640.06</v>
      </c>
      <c r="M98" s="42" t="s">
        <v>29</v>
      </c>
      <c r="N98" s="156">
        <v>4939.4799999999996</v>
      </c>
      <c r="P98" s="42" t="s">
        <v>29</v>
      </c>
      <c r="Q98" s="156">
        <v>7402</v>
      </c>
      <c r="R98" s="8"/>
      <c r="S98" s="42" t="s">
        <v>29</v>
      </c>
      <c r="T98" s="156">
        <v>10280</v>
      </c>
      <c r="V98" s="77" t="s">
        <v>29</v>
      </c>
      <c r="W98" s="706">
        <v>0</v>
      </c>
    </row>
    <row r="99" spans="1:26" ht="14.45" customHeight="1">
      <c r="A99" s="42" t="s">
        <v>30</v>
      </c>
      <c r="B99" s="712">
        <v>49754.239999999998</v>
      </c>
      <c r="D99" s="34" t="s">
        <v>30</v>
      </c>
      <c r="E99" s="712">
        <v>28560</v>
      </c>
      <c r="G99" s="34" t="s">
        <v>30</v>
      </c>
      <c r="H99" s="712">
        <v>12638.2</v>
      </c>
      <c r="J99" s="42" t="s">
        <v>30</v>
      </c>
      <c r="K99" s="156">
        <v>73395.73</v>
      </c>
      <c r="M99" s="42" t="s">
        <v>30</v>
      </c>
      <c r="N99" s="156">
        <v>4642.13</v>
      </c>
      <c r="P99" s="42" t="s">
        <v>30</v>
      </c>
      <c r="Q99" s="156">
        <v>950</v>
      </c>
      <c r="R99" s="8"/>
      <c r="S99" s="42" t="s">
        <v>30</v>
      </c>
      <c r="T99" s="156">
        <v>70603.81</v>
      </c>
      <c r="V99" s="77" t="s">
        <v>30</v>
      </c>
      <c r="W99" s="562">
        <v>1709.08</v>
      </c>
    </row>
    <row r="100" spans="1:26" ht="14.45" customHeight="1">
      <c r="A100" s="42" t="s">
        <v>31</v>
      </c>
      <c r="B100" s="158">
        <v>46952.57</v>
      </c>
      <c r="D100" s="42" t="s">
        <v>31</v>
      </c>
      <c r="E100" s="156">
        <v>13475</v>
      </c>
      <c r="G100" s="42" t="s">
        <v>31</v>
      </c>
      <c r="H100" s="156">
        <v>11934.21</v>
      </c>
      <c r="J100" s="42" t="s">
        <v>31</v>
      </c>
      <c r="K100" s="156">
        <v>41557.730000000003</v>
      </c>
      <c r="M100" s="42" t="s">
        <v>31</v>
      </c>
      <c r="N100" s="156">
        <v>8107.78</v>
      </c>
      <c r="P100" s="42" t="s">
        <v>31</v>
      </c>
      <c r="Q100" s="156">
        <v>2800</v>
      </c>
      <c r="R100" s="8"/>
      <c r="S100" s="42" t="s">
        <v>31</v>
      </c>
      <c r="T100" s="156">
        <v>6330</v>
      </c>
      <c r="V100" s="77" t="s">
        <v>31</v>
      </c>
      <c r="W100" s="562">
        <v>0</v>
      </c>
    </row>
    <row r="101" spans="1:26" ht="14.45" customHeight="1">
      <c r="A101" s="42" t="s">
        <v>33</v>
      </c>
      <c r="B101" s="156">
        <v>67505.64</v>
      </c>
      <c r="D101" s="42" t="s">
        <v>33</v>
      </c>
      <c r="E101" s="157">
        <v>13900</v>
      </c>
      <c r="G101" s="42" t="s">
        <v>33</v>
      </c>
      <c r="H101" s="157">
        <v>31987.95</v>
      </c>
      <c r="J101" s="42" t="s">
        <v>33</v>
      </c>
      <c r="K101" s="157">
        <v>68199.08</v>
      </c>
      <c r="M101" s="42" t="s">
        <v>33</v>
      </c>
      <c r="N101" s="157">
        <v>1593</v>
      </c>
      <c r="P101" s="42" t="s">
        <v>33</v>
      </c>
      <c r="Q101" s="156">
        <v>6795</v>
      </c>
      <c r="R101" s="8"/>
      <c r="S101" s="42" t="s">
        <v>33</v>
      </c>
      <c r="T101" s="157">
        <v>825</v>
      </c>
      <c r="V101" s="77" t="s">
        <v>33</v>
      </c>
      <c r="W101" s="562">
        <v>650.65</v>
      </c>
    </row>
    <row r="102" spans="1:26" ht="14.45" customHeight="1">
      <c r="A102" s="42" t="s">
        <v>34</v>
      </c>
      <c r="B102" s="156">
        <v>80201.289999999994</v>
      </c>
      <c r="D102" s="42" t="s">
        <v>34</v>
      </c>
      <c r="E102" s="157">
        <v>51680</v>
      </c>
      <c r="G102" s="42" t="s">
        <v>34</v>
      </c>
      <c r="H102" s="37">
        <v>24133.21</v>
      </c>
      <c r="J102" s="42" t="s">
        <v>34</v>
      </c>
      <c r="K102" s="157">
        <v>82801.38</v>
      </c>
      <c r="M102" s="42" t="s">
        <v>34</v>
      </c>
      <c r="N102" s="157">
        <v>5205</v>
      </c>
      <c r="P102" s="42" t="s">
        <v>34</v>
      </c>
      <c r="Q102" s="156">
        <v>7575</v>
      </c>
      <c r="S102" s="42" t="s">
        <v>34</v>
      </c>
      <c r="T102" s="157">
        <v>20939.990000000002</v>
      </c>
      <c r="V102" s="77" t="s">
        <v>34</v>
      </c>
      <c r="W102" s="562">
        <v>0</v>
      </c>
    </row>
    <row r="103" spans="1:26" ht="14.45" customHeight="1">
      <c r="A103" s="34" t="s">
        <v>35</v>
      </c>
      <c r="B103" s="156">
        <v>78133.63</v>
      </c>
      <c r="D103" s="34" t="s">
        <v>35</v>
      </c>
      <c r="E103" s="37">
        <v>29940</v>
      </c>
      <c r="G103" s="42" t="s">
        <v>35</v>
      </c>
      <c r="H103" s="37">
        <v>27364.58</v>
      </c>
      <c r="J103" s="34" t="s">
        <v>35</v>
      </c>
      <c r="K103" s="37">
        <v>176175.96</v>
      </c>
      <c r="M103" s="34" t="s">
        <v>35</v>
      </c>
      <c r="N103" s="37">
        <v>7364.03</v>
      </c>
      <c r="P103" s="34" t="s">
        <v>35</v>
      </c>
      <c r="Q103" s="156">
        <v>4879</v>
      </c>
      <c r="S103" s="34" t="s">
        <v>35</v>
      </c>
      <c r="T103" s="37">
        <v>31625.03</v>
      </c>
      <c r="V103" s="77" t="s">
        <v>35</v>
      </c>
      <c r="W103" s="562">
        <v>0</v>
      </c>
    </row>
    <row r="104" spans="1:26">
      <c r="A104" s="34" t="s">
        <v>36</v>
      </c>
      <c r="B104" s="156">
        <v>60031.57</v>
      </c>
      <c r="D104" s="34" t="s">
        <v>36</v>
      </c>
      <c r="E104" s="37">
        <v>27940</v>
      </c>
      <c r="G104" s="34" t="s">
        <v>36</v>
      </c>
      <c r="H104" s="37">
        <v>17386.650000000001</v>
      </c>
      <c r="J104" s="34" t="s">
        <v>36</v>
      </c>
      <c r="K104" s="37">
        <v>91861.440000000002</v>
      </c>
      <c r="M104" s="34" t="s">
        <v>36</v>
      </c>
      <c r="N104" s="37">
        <v>2796.6</v>
      </c>
      <c r="P104" s="34" t="s">
        <v>36</v>
      </c>
      <c r="Q104" s="156">
        <v>1249</v>
      </c>
      <c r="S104" s="34" t="s">
        <v>36</v>
      </c>
      <c r="T104" s="37">
        <v>110969.99</v>
      </c>
      <c r="V104" s="78" t="s">
        <v>36</v>
      </c>
      <c r="W104" s="562">
        <v>1947.58</v>
      </c>
    </row>
    <row r="105" spans="1:26" ht="14.45" customHeight="1">
      <c r="A105" s="38" t="s">
        <v>37</v>
      </c>
      <c r="B105" s="27">
        <f>SUM(B93:B104)</f>
        <v>929550.99999999988</v>
      </c>
      <c r="C105" s="35"/>
      <c r="D105" s="38" t="s">
        <v>37</v>
      </c>
      <c r="E105" s="27">
        <f>SUM(E93:E104)</f>
        <v>272990</v>
      </c>
      <c r="F105" s="35"/>
      <c r="G105" s="38" t="s">
        <v>37</v>
      </c>
      <c r="H105" s="27">
        <f>SUM(H93:H104)</f>
        <v>234240.42</v>
      </c>
      <c r="I105" s="35"/>
      <c r="J105" s="38" t="s">
        <v>37</v>
      </c>
      <c r="K105" s="27">
        <f>SUM(K93:K104)</f>
        <v>919468.03</v>
      </c>
      <c r="L105" s="35"/>
      <c r="M105" s="38" t="s">
        <v>37</v>
      </c>
      <c r="N105" s="27">
        <f>SUM(N93:N104)</f>
        <v>54986</v>
      </c>
      <c r="P105" s="38" t="s">
        <v>37</v>
      </c>
      <c r="Q105" s="27">
        <f>SUM(Q93:Q104)</f>
        <v>55959</v>
      </c>
      <c r="S105" s="38" t="s">
        <v>37</v>
      </c>
      <c r="T105" s="27">
        <f>SUM(T93:T104)</f>
        <v>294920.83</v>
      </c>
      <c r="V105" s="83" t="s">
        <v>37</v>
      </c>
      <c r="W105" s="84">
        <f>SUM(W93:W104)</f>
        <v>6474.61</v>
      </c>
    </row>
    <row r="106" spans="1:26" ht="14.45" customHeight="1">
      <c r="A106" s="74" t="s">
        <v>38</v>
      </c>
      <c r="B106" s="75">
        <f>(B93+B94+B95+B96+B97+B98+B99+B100+B101+B102+B103+B104)/12</f>
        <v>77462.583333333328</v>
      </c>
      <c r="C106" s="75"/>
      <c r="D106" s="76" t="s">
        <v>38</v>
      </c>
      <c r="E106" s="75">
        <f>(E93+E94+E95+E96+E97+E98+E99+E100+E101+E102+E103+E104)/12</f>
        <v>22749.166666666668</v>
      </c>
      <c r="F106" s="75"/>
      <c r="G106" s="76" t="s">
        <v>38</v>
      </c>
      <c r="H106" s="75">
        <f>(H93+H94+H95+H96+H97+H98+H99+H100+H101+H102+H103+H104)/12</f>
        <v>19520.035</v>
      </c>
      <c r="I106" s="75"/>
      <c r="J106" s="76" t="s">
        <v>38</v>
      </c>
      <c r="K106" s="75">
        <f>(K93+K94+K95+K96+K97+K98+K99+K100+K101+K102+K103+K104)/12</f>
        <v>76622.335833333331</v>
      </c>
      <c r="L106" s="75"/>
      <c r="M106" s="76" t="s">
        <v>38</v>
      </c>
      <c r="N106" s="75">
        <f>(N93+N94+N95+N96+N97+N98+N99+N100+N101+N102+N103+N104)/12</f>
        <v>4582.166666666667</v>
      </c>
      <c r="O106" s="8"/>
      <c r="P106" s="76" t="s">
        <v>38</v>
      </c>
      <c r="Q106" s="75">
        <f>(Q93+Q94+Q95+Q96+Q97+Q98+Q99+Q100+Q101+Q102+Q103+Q104)/12</f>
        <v>4663.25</v>
      </c>
      <c r="R106" s="8"/>
      <c r="S106" s="76" t="s">
        <v>38</v>
      </c>
      <c r="T106" s="75">
        <f>(T93+T94+T95+T96+T97+T98+T99+T100+T101+T102+T103+T104)/12</f>
        <v>24576.735833333336</v>
      </c>
      <c r="U106" s="8"/>
      <c r="V106" s="76" t="s">
        <v>38</v>
      </c>
      <c r="W106" s="623">
        <f>(W93+W94+W95+W96+W97+W98+W99+W100+W101+W102+W103+W104)/12</f>
        <v>539.55083333333334</v>
      </c>
      <c r="X106" s="8"/>
      <c r="Y106" s="76"/>
      <c r="Z106" s="79"/>
    </row>
    <row r="107" spans="1:26">
      <c r="B107" s="11"/>
    </row>
    <row r="108" spans="1:26">
      <c r="B108" s="685"/>
    </row>
    <row r="110" spans="1:26" ht="18.75">
      <c r="A110" s="877">
        <v>2026</v>
      </c>
      <c r="B110" s="878"/>
      <c r="C110" s="878"/>
      <c r="D110" s="878"/>
      <c r="E110" s="878"/>
      <c r="F110" s="878"/>
      <c r="G110" s="878"/>
      <c r="H110" s="878"/>
      <c r="I110" s="878"/>
      <c r="J110" s="878"/>
      <c r="K110" s="878"/>
      <c r="L110" s="878"/>
      <c r="M110" s="878"/>
      <c r="N110" s="878"/>
      <c r="O110" s="878"/>
      <c r="P110" s="878"/>
      <c r="Q110" s="878"/>
      <c r="R110" s="878"/>
      <c r="S110" s="878"/>
      <c r="T110" s="878"/>
      <c r="U110" s="878"/>
      <c r="V110" s="878"/>
      <c r="W110" s="878"/>
      <c r="X110" s="878"/>
      <c r="Y110" s="878"/>
      <c r="Z110" s="878"/>
    </row>
    <row r="111" spans="1:26">
      <c r="A111" s="879" t="s">
        <v>17</v>
      </c>
      <c r="B111" s="880"/>
      <c r="C111" s="35"/>
      <c r="D111" s="879" t="s">
        <v>18</v>
      </c>
      <c r="E111" s="880"/>
      <c r="F111" s="35"/>
      <c r="G111" s="879" t="s">
        <v>19</v>
      </c>
      <c r="H111" s="880"/>
      <c r="I111" s="35"/>
      <c r="J111" s="879" t="s">
        <v>20</v>
      </c>
      <c r="K111" s="880"/>
      <c r="L111" s="35"/>
      <c r="M111" s="879" t="s">
        <v>21</v>
      </c>
      <c r="N111" s="880"/>
      <c r="P111" s="879" t="s">
        <v>22</v>
      </c>
      <c r="Q111" s="880"/>
      <c r="S111" s="879" t="s">
        <v>23</v>
      </c>
      <c r="T111" s="880"/>
      <c r="V111" s="881" t="s">
        <v>40</v>
      </c>
      <c r="W111" s="882"/>
    </row>
    <row r="112" spans="1:26">
      <c r="A112" s="42" t="s">
        <v>24</v>
      </c>
      <c r="B112" s="778">
        <f>'2026'!B7</f>
        <v>0</v>
      </c>
      <c r="D112" s="42" t="s">
        <v>24</v>
      </c>
      <c r="E112" s="156">
        <f>'Gastos TC enero 2026'!H4</f>
        <v>32225</v>
      </c>
      <c r="G112" s="42" t="s">
        <v>24</v>
      </c>
      <c r="H112" s="156">
        <f>'2026'!B47</f>
        <v>0</v>
      </c>
      <c r="J112" s="42" t="s">
        <v>24</v>
      </c>
      <c r="K112" s="156">
        <f>'Gastos TC enero 2026'!H3</f>
        <v>72447.7</v>
      </c>
      <c r="M112" s="42" t="s">
        <v>24</v>
      </c>
      <c r="N112" s="156">
        <f>'Gastos TC enero 2026'!H5</f>
        <v>5103.5</v>
      </c>
      <c r="P112" s="42" t="s">
        <v>24</v>
      </c>
      <c r="Q112" s="156">
        <f>'Gastos TC enero 2026'!H7</f>
        <v>1644</v>
      </c>
      <c r="R112" s="8"/>
      <c r="S112" s="42" t="s">
        <v>24</v>
      </c>
      <c r="T112" s="156">
        <f>'Gastos TC enero 2026'!H6</f>
        <v>0</v>
      </c>
      <c r="V112" s="77" t="s">
        <v>24</v>
      </c>
      <c r="W112" s="562"/>
    </row>
    <row r="113" spans="1:26">
      <c r="A113" s="42" t="s">
        <v>25</v>
      </c>
      <c r="B113" s="779"/>
      <c r="D113" s="42" t="s">
        <v>25</v>
      </c>
      <c r="E113" s="156"/>
      <c r="G113" s="42" t="s">
        <v>25</v>
      </c>
      <c r="H113" s="156"/>
      <c r="J113" s="42" t="s">
        <v>25</v>
      </c>
      <c r="K113" s="156"/>
      <c r="M113" s="42" t="s">
        <v>25</v>
      </c>
      <c r="N113" s="156"/>
      <c r="P113" s="42" t="s">
        <v>25</v>
      </c>
      <c r="Q113" s="158"/>
      <c r="R113" s="8"/>
      <c r="S113" s="42" t="s">
        <v>25</v>
      </c>
      <c r="T113" s="156"/>
      <c r="V113" s="77" t="s">
        <v>25</v>
      </c>
      <c r="W113" s="562"/>
    </row>
    <row r="114" spans="1:26">
      <c r="A114" s="42" t="s">
        <v>26</v>
      </c>
      <c r="B114" s="156"/>
      <c r="D114" s="42" t="s">
        <v>26</v>
      </c>
      <c r="E114" s="156"/>
      <c r="G114" s="42" t="s">
        <v>26</v>
      </c>
      <c r="H114" s="156"/>
      <c r="J114" s="42" t="s">
        <v>26</v>
      </c>
      <c r="K114" s="156"/>
      <c r="M114" s="42" t="s">
        <v>26</v>
      </c>
      <c r="N114" s="156"/>
      <c r="P114" s="42" t="s">
        <v>26</v>
      </c>
      <c r="Q114" s="156"/>
      <c r="R114" s="8"/>
      <c r="S114" s="42" t="s">
        <v>26</v>
      </c>
      <c r="T114" s="156"/>
      <c r="V114" s="77" t="s">
        <v>26</v>
      </c>
      <c r="W114" s="562"/>
    </row>
    <row r="115" spans="1:26">
      <c r="A115" s="42" t="s">
        <v>27</v>
      </c>
      <c r="B115" s="156"/>
      <c r="D115" s="42" t="s">
        <v>27</v>
      </c>
      <c r="E115" s="156"/>
      <c r="G115" s="42" t="s">
        <v>27</v>
      </c>
      <c r="H115" s="156"/>
      <c r="J115" s="42" t="s">
        <v>27</v>
      </c>
      <c r="K115" s="156"/>
      <c r="M115" s="42" t="s">
        <v>27</v>
      </c>
      <c r="N115" s="156"/>
      <c r="P115" s="42" t="s">
        <v>27</v>
      </c>
      <c r="Q115" s="156"/>
      <c r="R115" s="8"/>
      <c r="S115" s="42" t="s">
        <v>27</v>
      </c>
      <c r="T115" s="156"/>
      <c r="V115" s="77" t="s">
        <v>27</v>
      </c>
      <c r="W115" s="562"/>
    </row>
    <row r="116" spans="1:26">
      <c r="A116" s="42" t="s">
        <v>28</v>
      </c>
      <c r="B116" s="156"/>
      <c r="D116" s="42" t="s">
        <v>28</v>
      </c>
      <c r="E116" s="156"/>
      <c r="G116" s="42" t="s">
        <v>28</v>
      </c>
      <c r="H116" s="156"/>
      <c r="J116" s="42" t="s">
        <v>28</v>
      </c>
      <c r="K116" s="156"/>
      <c r="M116" s="42" t="s">
        <v>28</v>
      </c>
      <c r="N116" s="156"/>
      <c r="P116" s="42" t="s">
        <v>28</v>
      </c>
      <c r="Q116" s="156"/>
      <c r="R116" s="8"/>
      <c r="S116" s="42" t="s">
        <v>28</v>
      </c>
      <c r="T116" s="156"/>
      <c r="V116" s="77" t="s">
        <v>28</v>
      </c>
      <c r="W116" s="562"/>
    </row>
    <row r="117" spans="1:26">
      <c r="A117" s="42" t="s">
        <v>29</v>
      </c>
      <c r="B117" s="156"/>
      <c r="D117" s="42" t="s">
        <v>29</v>
      </c>
      <c r="E117" s="156"/>
      <c r="G117" s="42" t="s">
        <v>29</v>
      </c>
      <c r="H117" s="156"/>
      <c r="J117" s="42" t="s">
        <v>29</v>
      </c>
      <c r="K117" s="156"/>
      <c r="M117" s="42" t="s">
        <v>29</v>
      </c>
      <c r="N117" s="156"/>
      <c r="P117" s="42" t="s">
        <v>29</v>
      </c>
      <c r="Q117" s="156"/>
      <c r="R117" s="8"/>
      <c r="S117" s="42" t="s">
        <v>29</v>
      </c>
      <c r="T117" s="156"/>
      <c r="V117" s="77" t="s">
        <v>29</v>
      </c>
      <c r="W117" s="706"/>
    </row>
    <row r="118" spans="1:26">
      <c r="A118" s="42" t="s">
        <v>30</v>
      </c>
      <c r="B118" s="712"/>
      <c r="D118" s="34" t="s">
        <v>30</v>
      </c>
      <c r="E118" s="712"/>
      <c r="G118" s="34" t="s">
        <v>30</v>
      </c>
      <c r="H118" s="712"/>
      <c r="J118" s="42" t="s">
        <v>30</v>
      </c>
      <c r="K118" s="156"/>
      <c r="M118" s="42" t="s">
        <v>30</v>
      </c>
      <c r="N118" s="156"/>
      <c r="P118" s="42" t="s">
        <v>30</v>
      </c>
      <c r="Q118" s="156"/>
      <c r="R118" s="8"/>
      <c r="S118" s="42" t="s">
        <v>30</v>
      </c>
      <c r="T118" s="156"/>
      <c r="V118" s="77" t="s">
        <v>30</v>
      </c>
      <c r="W118" s="562"/>
    </row>
    <row r="119" spans="1:26">
      <c r="A119" s="42" t="s">
        <v>31</v>
      </c>
      <c r="B119" s="158"/>
      <c r="D119" s="42" t="s">
        <v>31</v>
      </c>
      <c r="E119" s="156"/>
      <c r="G119" s="42" t="s">
        <v>31</v>
      </c>
      <c r="H119" s="156"/>
      <c r="J119" s="42" t="s">
        <v>31</v>
      </c>
      <c r="K119" s="156"/>
      <c r="M119" s="42" t="s">
        <v>31</v>
      </c>
      <c r="N119" s="156"/>
      <c r="P119" s="42" t="s">
        <v>31</v>
      </c>
      <c r="Q119" s="156"/>
      <c r="R119" s="8"/>
      <c r="S119" s="42" t="s">
        <v>31</v>
      </c>
      <c r="T119" s="156"/>
      <c r="V119" s="77" t="s">
        <v>31</v>
      </c>
      <c r="W119" s="562"/>
    </row>
    <row r="120" spans="1:26">
      <c r="A120" s="42" t="s">
        <v>33</v>
      </c>
      <c r="B120" s="156"/>
      <c r="D120" s="42" t="s">
        <v>33</v>
      </c>
      <c r="E120" s="157"/>
      <c r="G120" s="42" t="s">
        <v>33</v>
      </c>
      <c r="H120" s="157"/>
      <c r="J120" s="42" t="s">
        <v>33</v>
      </c>
      <c r="K120" s="157"/>
      <c r="M120" s="42" t="s">
        <v>33</v>
      </c>
      <c r="N120" s="157"/>
      <c r="P120" s="42" t="s">
        <v>33</v>
      </c>
      <c r="Q120" s="156"/>
      <c r="R120" s="8"/>
      <c r="S120" s="42" t="s">
        <v>33</v>
      </c>
      <c r="T120" s="157"/>
      <c r="V120" s="77" t="s">
        <v>33</v>
      </c>
      <c r="W120" s="562"/>
    </row>
    <row r="121" spans="1:26">
      <c r="A121" s="42" t="s">
        <v>34</v>
      </c>
      <c r="B121" s="156"/>
      <c r="D121" s="42" t="s">
        <v>34</v>
      </c>
      <c r="E121" s="157"/>
      <c r="G121" s="42" t="s">
        <v>34</v>
      </c>
      <c r="H121" s="37"/>
      <c r="J121" s="42" t="s">
        <v>34</v>
      </c>
      <c r="K121" s="157"/>
      <c r="M121" s="42" t="s">
        <v>34</v>
      </c>
      <c r="N121" s="157"/>
      <c r="P121" s="42" t="s">
        <v>34</v>
      </c>
      <c r="Q121" s="156"/>
      <c r="S121" s="42" t="s">
        <v>34</v>
      </c>
      <c r="T121" s="157"/>
      <c r="V121" s="77" t="s">
        <v>34</v>
      </c>
      <c r="W121" s="562"/>
    </row>
    <row r="122" spans="1:26">
      <c r="A122" s="34" t="s">
        <v>35</v>
      </c>
      <c r="B122" s="156"/>
      <c r="D122" s="34" t="s">
        <v>35</v>
      </c>
      <c r="E122" s="37"/>
      <c r="G122" s="42" t="s">
        <v>35</v>
      </c>
      <c r="H122" s="37"/>
      <c r="J122" s="34" t="s">
        <v>35</v>
      </c>
      <c r="K122" s="37"/>
      <c r="M122" s="34" t="s">
        <v>35</v>
      </c>
      <c r="N122" s="37"/>
      <c r="P122" s="34" t="s">
        <v>35</v>
      </c>
      <c r="Q122" s="156"/>
      <c r="S122" s="34" t="s">
        <v>35</v>
      </c>
      <c r="T122" s="37"/>
      <c r="V122" s="77" t="s">
        <v>35</v>
      </c>
      <c r="W122" s="562"/>
    </row>
    <row r="123" spans="1:26">
      <c r="A123" s="34" t="s">
        <v>36</v>
      </c>
      <c r="B123" s="156"/>
      <c r="D123" s="34" t="s">
        <v>36</v>
      </c>
      <c r="E123" s="37"/>
      <c r="G123" s="34" t="s">
        <v>36</v>
      </c>
      <c r="H123" s="37"/>
      <c r="J123" s="34" t="s">
        <v>36</v>
      </c>
      <c r="K123" s="37"/>
      <c r="M123" s="34" t="s">
        <v>36</v>
      </c>
      <c r="N123" s="37"/>
      <c r="P123" s="34" t="s">
        <v>36</v>
      </c>
      <c r="Q123" s="156"/>
      <c r="S123" s="34" t="s">
        <v>36</v>
      </c>
      <c r="T123" s="37"/>
      <c r="V123" s="78" t="s">
        <v>36</v>
      </c>
      <c r="W123" s="562"/>
    </row>
    <row r="124" spans="1:26">
      <c r="A124" s="38" t="s">
        <v>37</v>
      </c>
      <c r="B124" s="27">
        <f>SUM(B112:B123)</f>
        <v>0</v>
      </c>
      <c r="C124" s="35"/>
      <c r="D124" s="38" t="s">
        <v>37</v>
      </c>
      <c r="E124" s="27">
        <f>SUM(E112:E123)</f>
        <v>32225</v>
      </c>
      <c r="F124" s="35"/>
      <c r="G124" s="38" t="s">
        <v>37</v>
      </c>
      <c r="H124" s="27">
        <f>SUM(H112:H123)</f>
        <v>0</v>
      </c>
      <c r="I124" s="35"/>
      <c r="J124" s="38" t="s">
        <v>37</v>
      </c>
      <c r="K124" s="27">
        <f>SUM(K112:K123)</f>
        <v>72447.7</v>
      </c>
      <c r="L124" s="35"/>
      <c r="M124" s="38" t="s">
        <v>37</v>
      </c>
      <c r="N124" s="27">
        <f>SUM(N112:N123)</f>
        <v>5103.5</v>
      </c>
      <c r="P124" s="38" t="s">
        <v>37</v>
      </c>
      <c r="Q124" s="27">
        <f>SUM(Q112:Q123)</f>
        <v>1644</v>
      </c>
      <c r="S124" s="38" t="s">
        <v>37</v>
      </c>
      <c r="T124" s="27">
        <f>SUM(T112:T123)</f>
        <v>0</v>
      </c>
      <c r="V124" s="83" t="s">
        <v>37</v>
      </c>
      <c r="W124" s="84">
        <f>SUM(W112:W123)</f>
        <v>0</v>
      </c>
    </row>
    <row r="125" spans="1:26">
      <c r="A125" s="74" t="s">
        <v>38</v>
      </c>
      <c r="B125" s="75">
        <f>(B112+B113+B114+B115+B116+B117+B118+B119+B120+B121+B122+B123)/1</f>
        <v>0</v>
      </c>
      <c r="C125" s="75"/>
      <c r="D125" s="76" t="s">
        <v>38</v>
      </c>
      <c r="E125" s="75">
        <f>(E112+E113+E114+E115+E116+E117+E118+E119+E120+E121+E122+E123)/1</f>
        <v>32225</v>
      </c>
      <c r="F125" s="75"/>
      <c r="G125" s="76" t="s">
        <v>38</v>
      </c>
      <c r="H125" s="75">
        <f>(H112+H113+H114+H115+H116+H117+H118+H119+H120+H121+H122+H123)/1</f>
        <v>0</v>
      </c>
      <c r="I125" s="75"/>
      <c r="J125" s="76" t="s">
        <v>38</v>
      </c>
      <c r="K125" s="75">
        <f>(K112+K113+K114+K115+K116+K117+K118+K119+K120+K121+K122+K123)/1</f>
        <v>72447.7</v>
      </c>
      <c r="L125" s="75"/>
      <c r="M125" s="76" t="s">
        <v>38</v>
      </c>
      <c r="N125" s="75">
        <f>(N112+N113+N114+N115+N116+N117+N118+N119+N120+N121+N122+N123)/1</f>
        <v>5103.5</v>
      </c>
      <c r="O125" s="8"/>
      <c r="P125" s="76" t="s">
        <v>38</v>
      </c>
      <c r="Q125" s="75">
        <f>(Q112+Q113+Q114+Q115+Q116+Q117+Q118+Q119+Q120+Q121+Q122+Q123)/1</f>
        <v>1644</v>
      </c>
      <c r="R125" s="8"/>
      <c r="S125" s="76" t="s">
        <v>38</v>
      </c>
      <c r="T125" s="75">
        <f>(T112+T113+T114+T115+T116+T117+T118+T119+T120+T121+T122+T123)/1</f>
        <v>0</v>
      </c>
      <c r="U125" s="8"/>
      <c r="V125" s="76" t="s">
        <v>38</v>
      </c>
      <c r="W125" s="623">
        <f>(W112+W113+W114+W115+W116+W117+W118+W119+W120+W121+W122+W123)/1</f>
        <v>0</v>
      </c>
      <c r="X125" s="8"/>
      <c r="Y125" s="76"/>
      <c r="Z125" s="79"/>
    </row>
    <row r="126" spans="1:26">
      <c r="B126" s="11"/>
    </row>
  </sheetData>
  <mergeCells count="62">
    <mergeCell ref="A91:Z91"/>
    <mergeCell ref="A92:B92"/>
    <mergeCell ref="D92:E92"/>
    <mergeCell ref="G92:H92"/>
    <mergeCell ref="J92:K92"/>
    <mergeCell ref="M92:N92"/>
    <mergeCell ref="P92:Q92"/>
    <mergeCell ref="S92:T92"/>
    <mergeCell ref="V92:W92"/>
    <mergeCell ref="A73:Z73"/>
    <mergeCell ref="A74:B74"/>
    <mergeCell ref="D74:E74"/>
    <mergeCell ref="G74:H74"/>
    <mergeCell ref="J74:K74"/>
    <mergeCell ref="M74:N74"/>
    <mergeCell ref="P74:Q74"/>
    <mergeCell ref="S74:T74"/>
    <mergeCell ref="V74:W74"/>
    <mergeCell ref="A20:T20"/>
    <mergeCell ref="A21:B21"/>
    <mergeCell ref="D21:E21"/>
    <mergeCell ref="G21:H21"/>
    <mergeCell ref="A2:T2"/>
    <mergeCell ref="A3:B3"/>
    <mergeCell ref="D3:E3"/>
    <mergeCell ref="G3:H3"/>
    <mergeCell ref="J3:K3"/>
    <mergeCell ref="M3:N3"/>
    <mergeCell ref="P3:Q3"/>
    <mergeCell ref="S3:T3"/>
    <mergeCell ref="V57:W57"/>
    <mergeCell ref="Y39:Z39"/>
    <mergeCell ref="A38:Z38"/>
    <mergeCell ref="A56:Z56"/>
    <mergeCell ref="A39:B39"/>
    <mergeCell ref="D39:E39"/>
    <mergeCell ref="G39:H39"/>
    <mergeCell ref="J39:K39"/>
    <mergeCell ref="M39:N39"/>
    <mergeCell ref="P39:Q39"/>
    <mergeCell ref="S39:T39"/>
    <mergeCell ref="V39:W39"/>
    <mergeCell ref="G57:H57"/>
    <mergeCell ref="J57:K57"/>
    <mergeCell ref="M57:N57"/>
    <mergeCell ref="A57:B57"/>
    <mergeCell ref="P57:Q57"/>
    <mergeCell ref="D57:E57"/>
    <mergeCell ref="S57:T57"/>
    <mergeCell ref="M21:N21"/>
    <mergeCell ref="S21:T21"/>
    <mergeCell ref="J21:K21"/>
    <mergeCell ref="P21:Q21"/>
    <mergeCell ref="A110:Z110"/>
    <mergeCell ref="A111:B111"/>
    <mergeCell ref="D111:E111"/>
    <mergeCell ref="G111:H111"/>
    <mergeCell ref="J111:K111"/>
    <mergeCell ref="M111:N111"/>
    <mergeCell ref="P111:Q111"/>
    <mergeCell ref="S111:T111"/>
    <mergeCell ref="V111:W111"/>
  </mergeCells>
  <pageMargins left="0.7" right="0.7" top="0.75" bottom="0.75" header="0.3" footer="0.3"/>
  <pageSetup scale="47" orientation="landscape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249977111117893"/>
  </sheetPr>
  <dimension ref="A1:BT150"/>
  <sheetViews>
    <sheetView showGridLines="0" topLeftCell="A42" zoomScale="110" zoomScaleNormal="110" zoomScaleSheetLayoutView="70" workbookViewId="0">
      <pane xSplit="1" topLeftCell="W1" activePane="topRight" state="frozen"/>
      <selection pane="topRight" activeCell="Z27" sqref="Z27"/>
    </sheetView>
  </sheetViews>
  <sheetFormatPr baseColWidth="10" defaultColWidth="10.42578125" defaultRowHeight="15"/>
  <cols>
    <col min="1" max="1" width="56.42578125" style="6" bestFit="1" customWidth="1"/>
    <col min="2" max="2" width="25.42578125" style="5" customWidth="1"/>
    <col min="3" max="3" width="21.7109375" style="63" customWidth="1"/>
    <col min="4" max="4" width="23.42578125" style="4" customWidth="1"/>
    <col min="5" max="5" width="20.42578125" style="4" customWidth="1"/>
    <col min="6" max="6" width="23.42578125" style="4" customWidth="1"/>
    <col min="7" max="7" width="19" style="4" bestFit="1" customWidth="1"/>
    <col min="8" max="8" width="23.42578125" style="4" customWidth="1"/>
    <col min="9" max="9" width="19.85546875" style="4" bestFit="1" customWidth="1"/>
    <col min="10" max="10" width="27.42578125" style="4" customWidth="1"/>
    <col min="11" max="11" width="20.140625" style="4" customWidth="1"/>
    <col min="12" max="12" width="25.7109375" style="61" bestFit="1" customWidth="1"/>
    <col min="13" max="13" width="20.42578125" style="2" customWidth="1"/>
    <col min="14" max="14" width="25.7109375" style="3" bestFit="1" customWidth="1"/>
    <col min="15" max="15" width="21.28515625" style="2" customWidth="1"/>
    <col min="16" max="16" width="25" style="3" customWidth="1"/>
    <col min="17" max="17" width="18.7109375" style="2" bestFit="1" customWidth="1"/>
    <col min="18" max="18" width="29.42578125" style="3" customWidth="1"/>
    <col min="19" max="19" width="19.42578125" style="2" customWidth="1"/>
    <col min="20" max="20" width="28.42578125" style="3" bestFit="1" customWidth="1"/>
    <col min="21" max="21" width="18.42578125" style="2" customWidth="1"/>
    <col min="22" max="22" width="25.7109375" style="3" bestFit="1" customWidth="1"/>
    <col min="23" max="23" width="21" style="2" customWidth="1"/>
    <col min="24" max="24" width="26.42578125" style="3" customWidth="1"/>
    <col min="25" max="25" width="21.28515625" style="2" customWidth="1"/>
    <col min="26" max="26" width="27.42578125" customWidth="1"/>
    <col min="27" max="27" width="21.42578125" style="718" customWidth="1"/>
    <col min="28" max="28" width="22.28515625" customWidth="1"/>
    <col min="29" max="29" width="20.42578125" style="1" bestFit="1" customWidth="1"/>
    <col min="30" max="30" width="16.42578125" bestFit="1" customWidth="1"/>
    <col min="31" max="32" width="18.42578125" bestFit="1" customWidth="1"/>
  </cols>
  <sheetData>
    <row r="1" spans="1:72" ht="26.25" customHeight="1">
      <c r="A1" s="377"/>
      <c r="B1" s="908">
        <v>45658</v>
      </c>
      <c r="C1" s="899"/>
      <c r="D1" s="909">
        <v>45689</v>
      </c>
      <c r="E1" s="905"/>
      <c r="F1" s="907">
        <v>45717</v>
      </c>
      <c r="G1" s="910"/>
      <c r="H1" s="902">
        <v>45748</v>
      </c>
      <c r="I1" s="903"/>
      <c r="J1" s="904">
        <v>45778</v>
      </c>
      <c r="K1" s="905"/>
      <c r="L1" s="906">
        <v>45809</v>
      </c>
      <c r="M1" s="907"/>
      <c r="N1" s="898">
        <v>45839</v>
      </c>
      <c r="O1" s="899"/>
      <c r="P1" s="900">
        <v>45870</v>
      </c>
      <c r="Q1" s="901"/>
      <c r="R1" s="902">
        <v>45901</v>
      </c>
      <c r="S1" s="903"/>
      <c r="T1" s="902">
        <v>45931</v>
      </c>
      <c r="U1" s="903"/>
      <c r="V1" s="904">
        <v>45962</v>
      </c>
      <c r="W1" s="905"/>
      <c r="X1" s="902">
        <v>45992</v>
      </c>
      <c r="Y1" s="903"/>
      <c r="Z1" s="887" t="s">
        <v>41</v>
      </c>
      <c r="AA1" s="888"/>
    </row>
    <row r="2" spans="1:72" s="8" customFormat="1" ht="20.25" customHeight="1">
      <c r="A2" s="462" t="s">
        <v>42</v>
      </c>
      <c r="B2" s="458" t="s">
        <v>43</v>
      </c>
      <c r="C2" s="362" t="s">
        <v>44</v>
      </c>
      <c r="D2" s="117" t="s">
        <v>43</v>
      </c>
      <c r="E2" s="118" t="s">
        <v>44</v>
      </c>
      <c r="F2" s="117" t="s">
        <v>43</v>
      </c>
      <c r="G2" s="361" t="s">
        <v>44</v>
      </c>
      <c r="H2" s="358" t="s">
        <v>43</v>
      </c>
      <c r="I2" s="359" t="s">
        <v>44</v>
      </c>
      <c r="J2" s="358" t="s">
        <v>43</v>
      </c>
      <c r="K2" s="359" t="s">
        <v>44</v>
      </c>
      <c r="L2" s="360" t="s">
        <v>43</v>
      </c>
      <c r="M2" s="357" t="s">
        <v>44</v>
      </c>
      <c r="N2" s="356" t="s">
        <v>43</v>
      </c>
      <c r="O2" s="357" t="s">
        <v>44</v>
      </c>
      <c r="P2" s="356" t="s">
        <v>43</v>
      </c>
      <c r="Q2" s="357" t="s">
        <v>44</v>
      </c>
      <c r="R2" s="356" t="s">
        <v>43</v>
      </c>
      <c r="S2" s="357" t="s">
        <v>44</v>
      </c>
      <c r="T2" s="120" t="s">
        <v>43</v>
      </c>
      <c r="U2" s="119" t="s">
        <v>44</v>
      </c>
      <c r="V2" s="120" t="s">
        <v>43</v>
      </c>
      <c r="W2" s="119" t="s">
        <v>44</v>
      </c>
      <c r="X2" s="120" t="s">
        <v>43</v>
      </c>
      <c r="Y2" s="256" t="s">
        <v>44</v>
      </c>
      <c r="Z2" s="754" t="s">
        <v>43</v>
      </c>
      <c r="AA2" s="755" t="s">
        <v>44</v>
      </c>
      <c r="AC2" s="889" t="s">
        <v>45</v>
      </c>
      <c r="AD2" s="890"/>
    </row>
    <row r="3" spans="1:72" ht="27.6" customHeight="1">
      <c r="A3" s="459" t="s">
        <v>46</v>
      </c>
      <c r="B3" s="115">
        <f>'[1]Gastos TC enero 2025'!C15</f>
        <v>5750.89</v>
      </c>
      <c r="C3" s="92"/>
      <c r="D3" s="115">
        <f>'[1]Gastos TC febrero 2025'!C18</f>
        <v>5750.89</v>
      </c>
      <c r="E3" s="102"/>
      <c r="F3" s="304">
        <f>'[1]Gastos TC marzo 2025'!C18</f>
        <v>5750.89</v>
      </c>
      <c r="G3" s="226"/>
      <c r="H3" s="116">
        <f>'[1]Gastos TC abril 2025'!C13</f>
        <v>5750.89</v>
      </c>
      <c r="I3" s="102"/>
      <c r="J3" s="116">
        <f>'[1]Gastos TC mayo 2025'!C5</f>
        <v>5750.89</v>
      </c>
      <c r="K3" s="53"/>
      <c r="L3" s="254">
        <f>'[1]Gastos TC junio 2025'!C10</f>
        <v>5750.89</v>
      </c>
      <c r="M3" s="353"/>
      <c r="N3" s="354">
        <f>'[1]Gastos TC julio 2025'!C13</f>
        <v>5750.89</v>
      </c>
      <c r="O3" s="297"/>
      <c r="P3" s="290">
        <f>'[1]Gastos TC Agosto 2025'!C12</f>
        <v>5750.89</v>
      </c>
      <c r="Q3" s="297"/>
      <c r="R3" s="116">
        <f>'[1] Gastos TC Septiembre 2025'!C7</f>
        <v>5750.89</v>
      </c>
      <c r="S3" s="89"/>
      <c r="T3" s="116">
        <f>'[1] Gastos TC Octubre 2025'!C14</f>
        <v>5728.05</v>
      </c>
      <c r="U3" s="89"/>
      <c r="V3" s="116">
        <f>'[1] Gastos TC Noviembre 2025'!C15</f>
        <v>5750.89</v>
      </c>
      <c r="W3" s="89"/>
      <c r="X3" s="115">
        <f>'[1] Gastos TC Diciembre 2025'!C8</f>
        <v>5750.89</v>
      </c>
      <c r="Y3" s="171"/>
      <c r="Z3" s="290">
        <f>+B3+D3+F3+H3+J3+L3+N3+P3+R3+T3+V3+X3</f>
        <v>68987.840000000011</v>
      </c>
      <c r="AA3" s="297">
        <f>+C3+E3+G3+I3+K3+M3+O3+Q3+S3</f>
        <v>0</v>
      </c>
      <c r="AB3" s="33"/>
      <c r="AC3" s="483" t="s">
        <v>47</v>
      </c>
      <c r="AD3" s="484">
        <f>1000</f>
        <v>1000</v>
      </c>
    </row>
    <row r="4" spans="1:72" ht="27.6" customHeight="1">
      <c r="A4" s="460" t="s">
        <v>48</v>
      </c>
      <c r="B4" s="94">
        <f>'[1]Gastos TC enero 2025'!C10</f>
        <v>72045.039999999994</v>
      </c>
      <c r="C4" s="93"/>
      <c r="D4" s="160">
        <f>'[1]Gastos TC febrero 2025'!C74</f>
        <v>35248.92</v>
      </c>
      <c r="E4" s="103"/>
      <c r="F4" s="305">
        <f>'[1]Gastos TC marzo 2025'!C108+'[1]Gastos TC marzo 2025'!C109</f>
        <v>61771.26</v>
      </c>
      <c r="G4" s="226"/>
      <c r="H4" s="100">
        <f>'[1]Gastos TC abril 2025'!C91</f>
        <v>1515.36</v>
      </c>
      <c r="I4" s="103"/>
      <c r="J4" s="100">
        <f>'[1]Gastos TC mayo 2025'!C79</f>
        <v>31580.17</v>
      </c>
      <c r="K4" s="73"/>
      <c r="L4" s="255">
        <f>'[1]Gastos TC junio 2025'!C74</f>
        <v>30849.55</v>
      </c>
      <c r="M4" s="73"/>
      <c r="N4" s="291">
        <f>'[1]Gastos TC julio 2025'!C75</f>
        <v>31138.19</v>
      </c>
      <c r="O4" s="275"/>
      <c r="P4" s="291">
        <f>'[1]Gastos TC Agosto 2025'!C73</f>
        <v>34511.67</v>
      </c>
      <c r="Q4" s="275"/>
      <c r="R4" s="94">
        <f>'[1] Gastos TC Septiembre 2025'!C76</f>
        <v>29870.27</v>
      </c>
      <c r="S4" s="87"/>
      <c r="T4" s="94">
        <f>'[1] Gastos TC Octubre 2025'!C99</f>
        <v>27278.45</v>
      </c>
      <c r="U4" s="87"/>
      <c r="V4" s="94">
        <f>'[1] Gastos TC Noviembre 2025'!C97</f>
        <v>36047.86</v>
      </c>
      <c r="W4" s="87"/>
      <c r="X4" s="94">
        <f>'[1] Gastos TC Diciembre 2025'!C99</f>
        <v>36751.42</v>
      </c>
      <c r="Y4" s="172"/>
      <c r="Z4" s="291">
        <f>+B4+D4+F4+H4+J4+L4+N4+P4+R4+T4+V4+X4</f>
        <v>428608.16</v>
      </c>
      <c r="AA4" s="275">
        <f t="shared" ref="AA4:AA40" si="0">+C4+E4+G4+I4+K4+M4+O4+Q4+S4</f>
        <v>0</v>
      </c>
      <c r="AB4" s="704"/>
      <c r="AC4" s="485" t="s">
        <v>49</v>
      </c>
      <c r="AD4" s="486">
        <f>1729</f>
        <v>1729</v>
      </c>
    </row>
    <row r="5" spans="1:72" ht="27.6" customHeight="1">
      <c r="A5" s="460" t="s">
        <v>50</v>
      </c>
      <c r="B5" s="56">
        <v>30000</v>
      </c>
      <c r="C5" s="93"/>
      <c r="D5" s="56">
        <v>30000</v>
      </c>
      <c r="E5" s="108"/>
      <c r="F5" s="306">
        <v>30000</v>
      </c>
      <c r="G5" s="227"/>
      <c r="H5" s="99">
        <v>31200</v>
      </c>
      <c r="I5" s="108"/>
      <c r="J5" s="56">
        <v>31200</v>
      </c>
      <c r="K5" s="134"/>
      <c r="L5" s="713">
        <f>J5</f>
        <v>31200</v>
      </c>
      <c r="M5" s="134"/>
      <c r="N5" s="243">
        <f>L5</f>
        <v>31200</v>
      </c>
      <c r="O5" s="240"/>
      <c r="P5" s="223">
        <f>N5</f>
        <v>31200</v>
      </c>
      <c r="Q5" s="237"/>
      <c r="R5" s="223">
        <f>P5</f>
        <v>31200</v>
      </c>
      <c r="S5" s="111"/>
      <c r="T5" s="161">
        <f>R5</f>
        <v>31200</v>
      </c>
      <c r="U5" s="111"/>
      <c r="V5" s="56">
        <f>T5</f>
        <v>31200</v>
      </c>
      <c r="W5" s="111"/>
      <c r="X5" s="56">
        <f>V5</f>
        <v>31200</v>
      </c>
      <c r="Y5" s="50"/>
      <c r="Z5" s="223">
        <f>+B5+D5+F5+H5+J5+L5+N5+P5+R5+T5+V5+X5</f>
        <v>370800</v>
      </c>
      <c r="AA5" s="237">
        <f t="shared" si="0"/>
        <v>0</v>
      </c>
      <c r="AB5" s="1"/>
      <c r="AC5" s="487" t="s">
        <v>41</v>
      </c>
      <c r="AD5" s="488">
        <f>SUM(AD3:AD4)</f>
        <v>2729</v>
      </c>
      <c r="AF5" s="1"/>
      <c r="AH5" s="1"/>
      <c r="AJ5" s="1"/>
      <c r="AL5" s="1"/>
      <c r="AN5" s="1"/>
      <c r="AP5" s="1"/>
      <c r="AR5" s="1"/>
      <c r="AT5" s="1"/>
      <c r="AV5" s="1"/>
      <c r="AX5" s="1"/>
      <c r="AZ5" s="1"/>
      <c r="BB5" s="1"/>
      <c r="BD5" s="1"/>
      <c r="BF5" s="1"/>
      <c r="BH5" s="1"/>
    </row>
    <row r="6" spans="1:72" s="8" customFormat="1" ht="27.6" customHeight="1">
      <c r="A6" s="461" t="s">
        <v>51</v>
      </c>
      <c r="B6" s="49">
        <f>1000+61106.32+1000</f>
        <v>63106.32</v>
      </c>
      <c r="C6" s="93"/>
      <c r="D6" s="128">
        <f>6152.64+1000+1000</f>
        <v>8152.64</v>
      </c>
      <c r="E6" s="307"/>
      <c r="F6" s="128">
        <f>6908.46+1000</f>
        <v>7908.46</v>
      </c>
      <c r="G6" s="228"/>
      <c r="H6" s="128">
        <f>6828.9+1000+1000</f>
        <v>8828.9</v>
      </c>
      <c r="I6" s="580">
        <f>200</f>
        <v>200</v>
      </c>
      <c r="J6" s="56">
        <f>6500+5648.76+19300+1000</f>
        <v>32448.760000000002</v>
      </c>
      <c r="K6" s="125"/>
      <c r="L6" s="223">
        <f>6364.8+1000</f>
        <v>7364.8</v>
      </c>
      <c r="M6" s="135"/>
      <c r="N6" s="586">
        <f>5144.88</f>
        <v>5144.88</v>
      </c>
      <c r="O6" s="683"/>
      <c r="P6" s="223">
        <f>31200+2559.18+1555+5906.25+700</f>
        <v>41920.43</v>
      </c>
      <c r="Q6" s="326"/>
      <c r="R6" s="56">
        <f>16430.25+7034.31+1200</f>
        <v>24664.560000000001</v>
      </c>
      <c r="S6" s="122"/>
      <c r="T6" s="482">
        <f>'[1] Gastos TC Octubre 2025'!C105+'[1] Gastos TC Octubre 2025'!C106+5859.83+2400</f>
        <v>27979.83</v>
      </c>
      <c r="U6" s="122"/>
      <c r="V6" s="56">
        <f>6830.12</f>
        <v>6830.12</v>
      </c>
      <c r="W6" s="122"/>
      <c r="X6" s="56">
        <f>5785.12+15000+38940</f>
        <v>59725.119999999995</v>
      </c>
      <c r="Y6" s="183"/>
      <c r="Z6" s="223">
        <f t="shared" ref="Z6:Z7" si="1">+B6+D6+F6+H6+J6+L6+N6+P6+R6+T6+V6+X6</f>
        <v>294074.82</v>
      </c>
      <c r="AA6" s="756">
        <f>+C6+E6+G6+I6+K6+M6+O6+Q6+S6+U6+W6+Y6</f>
        <v>200</v>
      </c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</row>
    <row r="7" spans="1:72" s="591" customFormat="1" ht="27.6" customHeight="1">
      <c r="A7" s="574" t="s">
        <v>52</v>
      </c>
      <c r="B7" s="49">
        <f>'[1]Gastos TC enero 2025'!D89+'[1]Gastos TC enero 2025'!D111+'[1]Gastos TC enero 2025'!D160+11400</f>
        <v>82163.7</v>
      </c>
      <c r="C7" s="575"/>
      <c r="D7" s="576">
        <f>'[1]Gastos TC febrero 2025'!D67+'[1]Gastos TC febrero 2025'!D99+'[1]Gastos TC febrero 2025'!D138</f>
        <v>70390.7</v>
      </c>
      <c r="E7" s="577"/>
      <c r="F7" s="578">
        <f>'[1]Gastos TC marzo 2025'!D95+'[1]Gastos TC marzo 2025'!D123+'[1]Gastos TC marzo 2025'!D167</f>
        <v>73356.149999999994</v>
      </c>
      <c r="G7" s="579"/>
      <c r="H7" s="236">
        <f>'[1]Gastos TC abril 2025'!D81+'[1]Gastos TC abril 2025'!D150+'[1]Gastos TC abril 2025'!D178+'[1]Gastos TC abril 2025'!D114+11400</f>
        <v>139227.44</v>
      </c>
      <c r="I7" s="580"/>
      <c r="J7" s="581">
        <f>'[1]Gastos TC mayo 2025'!D67+'[1]Gastos TC mayo 2025'!D96+'[1]Gastos TC mayo 2025'!D120+'[1]Gastos TC mayo 2025'!D137+11600</f>
        <v>65611.600000000006</v>
      </c>
      <c r="K7" s="582"/>
      <c r="L7" s="583">
        <f>'[1]Gastos TC junio 2025'!D63+'[1]Gastos TC junio 2025'!D92+'[1]Gastos TC junio 2025'!D119+'[1]Gastos TC junio 2025'!D158+5291+600+2200+1200</f>
        <v>116222.47</v>
      </c>
      <c r="M7" s="584"/>
      <c r="N7" s="583">
        <f>'[1]Gastos TC julio 2025'!D60+'[1]Gastos TC julio 2025'!D100+'[1]Gastos TC julio 2025'!D122+'[1]Gastos TC julio 2025'!D148+1200+600+2100+3500+1600</f>
        <v>49754.240000000005</v>
      </c>
      <c r="O7" s="585"/>
      <c r="P7" s="586">
        <f>'[1]Gastos TC Agosto 2025'!D59+'[1]Gastos TC Agosto 2025'!D93+'[1]Gastos TC Agosto 2025'!D126+'[1]Gastos TC Agosto 2025'!D152+11600+3000+6450+1500+700+1200</f>
        <v>46952.57</v>
      </c>
      <c r="Q7" s="587"/>
      <c r="R7" s="581">
        <f>'[1] Gastos TC Septiembre 2025'!D95+'[1] Gastos TC Septiembre 2025'!D111+'[1] Gastos TC Septiembre 2025'!D145</f>
        <v>67505.640000000014</v>
      </c>
      <c r="S7" s="588"/>
      <c r="T7" s="589">
        <f>'[1] Gastos TC Octubre 2025'!D87+'[1] Gastos TC Octubre 2025'!D129+'[1] Gastos TC Octubre 2025'!D150+'[1] Gastos TC Octubre 2025'!D175+11600</f>
        <v>80201.289999999994</v>
      </c>
      <c r="U7" s="588"/>
      <c r="V7" s="581">
        <f>'[1] Gastos TC Noviembre 2025'!D81+'[1] Gastos TC Noviembre 2025'!D138+'[1] Gastos TC Noviembre 2025'!D153+'[1] Gastos TC Noviembre 2025'!D188</f>
        <v>78133.63</v>
      </c>
      <c r="W7" s="588"/>
      <c r="X7" s="581">
        <f>'[1] Gastos TC Diciembre 2025'!D75+'[1] Gastos TC Diciembre 2025'!D153+'[1] Gastos TC Diciembre 2025'!D175+'[1] Gastos TC Diciembre 2025'!D209</f>
        <v>60031.57</v>
      </c>
      <c r="Y7" s="590"/>
      <c r="Z7" s="223">
        <f t="shared" si="1"/>
        <v>929550.99999999988</v>
      </c>
      <c r="AA7" s="757">
        <f t="shared" si="0"/>
        <v>0</v>
      </c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</row>
    <row r="8" spans="1:72" s="747" customFormat="1" ht="27.6" customHeight="1">
      <c r="A8" s="724" t="s">
        <v>53</v>
      </c>
      <c r="B8" s="725"/>
      <c r="C8" s="726"/>
      <c r="D8" s="727"/>
      <c r="E8" s="728"/>
      <c r="F8" s="729"/>
      <c r="G8" s="730"/>
      <c r="H8" s="731"/>
      <c r="I8" s="732"/>
      <c r="J8" s="733"/>
      <c r="K8" s="734">
        <v>8750</v>
      </c>
      <c r="L8" s="735">
        <f>360000+505000+100000-12000</f>
        <v>953000</v>
      </c>
      <c r="M8" s="736"/>
      <c r="N8" s="737">
        <f>37083.86+3209.6+110918.4+15571.79+23418.56+7910.31+3650+49073.6+3650+24065.07+21800+32945.4+150000</f>
        <v>483296.59</v>
      </c>
      <c r="O8" s="738">
        <f>8769.6</f>
        <v>8769.6</v>
      </c>
      <c r="P8" s="739">
        <f>300000+15750+14225+21800-50000+55163.26+308800</f>
        <v>665738.26</v>
      </c>
      <c r="Q8" s="740">
        <f>580+2522.14-'[1]Gastos TC Agosto 2025'!C235</f>
        <v>6973.4</v>
      </c>
      <c r="R8" s="741">
        <f>62700+12000-10000+520157.5+'[1] Gastos TC Septiembre 2025'!C4+'[1] Gastos TC Septiembre 2025'!C61+'[1] Gastos TC Septiembre 2025'!C86+324080.66</f>
        <v>1017593.23</v>
      </c>
      <c r="S8" s="760">
        <f>8750-'[1] Gastos TC Septiembre 2025'!C211-'[1] Gastos TC Septiembre 2025'!C325-'[1] Gastos TC Septiembre 2025'!C331</f>
        <v>9150.1099999999988</v>
      </c>
      <c r="T8" s="742">
        <f>11000+6000+17500+49683.82+29123.1+21172+20000-5000-60000-5000-6000+'[1] Gastos TC Octubre 2025'!C13+'[1] Gastos TC Octubre 2025'!C16+'[1] Gastos TC Octubre 2025'!C17+'[1] Gastos TC Octubre 2025'!C30+'[1] Gastos TC Octubre 2025'!C79+'[1] Gastos TC Octubre 2025'!C86+'[1] Gastos TC Octubre 2025'!C95+'[1] Gastos TC Octubre 2025'!C96+'[1] Gastos TC Octubre 2025'!C98+'[1] Gastos TC Octubre 2025'!C107+'[1] Gastos TC Octubre 2025'!C111</f>
        <v>1692318.27</v>
      </c>
      <c r="U8" s="743"/>
      <c r="V8" s="744">
        <f>-5000-5000-5000+4000+17500+15000+12000+323454.24+25085.71+'[1] Gastos TC Noviembre 2025'!C48+'[1] Gastos TC Noviembre 2025'!C49+'[1] Gastos TC Noviembre 2025'!C51+'[1] Gastos TC Noviembre 2025'!C59+'[1] Gastos TC Noviembre 2025'!C66+'[1] Gastos TC Noviembre 2025'!C110+'[1] Gastos TC Noviembre 2025'!C180</f>
        <v>1654160.5799999998</v>
      </c>
      <c r="W8" s="743">
        <v>1702.73</v>
      </c>
      <c r="X8" s="744">
        <f>'[1] Gastos TC Diciembre 2025'!C48-8000+233290+15000+172180.29+64762.75-5000+15000+20000+10000+352838.34</f>
        <v>908816.38000000012</v>
      </c>
      <c r="Y8" s="811">
        <f>-'[1] Gastos TC Diciembre 2025'!C258+3750+6172.78+8750</f>
        <v>21348.639999999999</v>
      </c>
      <c r="Z8" s="758">
        <f>+B8+D8+F8+H8+J8+L8+N8+P8+R8+T8+V8+X8</f>
        <v>7374923.3099999996</v>
      </c>
      <c r="AA8" s="759">
        <f>+C8+E8+G8+I8+K8+M8+O8+Q8+S8+U8+W8+Y8</f>
        <v>56694.48</v>
      </c>
      <c r="AB8" s="746">
        <f>Z8+(AA8*AA58)</f>
        <v>10952344.998</v>
      </c>
      <c r="AC8" s="746">
        <f>AB8/61.8</f>
        <v>177222.41097087378</v>
      </c>
      <c r="AD8" s="746"/>
      <c r="AE8" s="746"/>
      <c r="AF8" s="746"/>
      <c r="AG8" s="746"/>
      <c r="AH8" s="746"/>
      <c r="AI8" s="746"/>
      <c r="AJ8" s="746"/>
      <c r="AK8" s="746"/>
      <c r="AL8" s="746"/>
      <c r="AM8" s="746"/>
      <c r="AN8" s="746"/>
      <c r="AO8" s="746"/>
      <c r="AP8" s="746"/>
      <c r="AQ8" s="746"/>
      <c r="AR8" s="746"/>
      <c r="AS8" s="746"/>
      <c r="AT8" s="746"/>
      <c r="AU8" s="746"/>
      <c r="AV8" s="746"/>
      <c r="AW8" s="746"/>
      <c r="AX8" s="746"/>
      <c r="AY8" s="746"/>
      <c r="AZ8" s="746"/>
      <c r="BA8" s="746"/>
      <c r="BB8" s="746"/>
      <c r="BC8" s="746"/>
      <c r="BD8" s="746"/>
      <c r="BE8" s="746"/>
      <c r="BF8" s="746"/>
      <c r="BG8" s="746"/>
      <c r="BH8" s="746"/>
      <c r="BI8" s="746"/>
      <c r="BJ8" s="746"/>
      <c r="BK8" s="746"/>
      <c r="BL8" s="746"/>
      <c r="BM8" s="746"/>
      <c r="BN8" s="746"/>
      <c r="BO8" s="746"/>
      <c r="BP8" s="746"/>
      <c r="BQ8" s="746"/>
      <c r="BR8" s="746"/>
      <c r="BS8" s="746"/>
      <c r="BT8" s="746"/>
    </row>
    <row r="9" spans="1:72" ht="26.25" customHeight="1">
      <c r="A9" s="456" t="s">
        <v>54</v>
      </c>
      <c r="B9" s="203">
        <f>SUM(B3:B8)</f>
        <v>253065.95</v>
      </c>
      <c r="C9" s="603">
        <f>SUM(C3:C8)</f>
        <v>0</v>
      </c>
      <c r="D9" s="203">
        <f>SUM(D3:D8)</f>
        <v>149543.15</v>
      </c>
      <c r="E9" s="606">
        <f>SUM(E3:E8)</f>
        <v>0</v>
      </c>
      <c r="F9" s="186">
        <f>SUM(F3:F8)</f>
        <v>178786.76</v>
      </c>
      <c r="G9" s="204"/>
      <c r="H9" s="186">
        <f t="shared" ref="H9:Y9" si="2">SUM(H3:H8)</f>
        <v>186522.59</v>
      </c>
      <c r="I9" s="187">
        <f t="shared" si="2"/>
        <v>200</v>
      </c>
      <c r="J9" s="186">
        <f t="shared" si="2"/>
        <v>166591.42000000001</v>
      </c>
      <c r="K9" s="187">
        <f t="shared" si="2"/>
        <v>8750</v>
      </c>
      <c r="L9" s="186">
        <f t="shared" si="2"/>
        <v>1144387.71</v>
      </c>
      <c r="M9" s="324">
        <f t="shared" si="2"/>
        <v>0</v>
      </c>
      <c r="N9" s="241">
        <f t="shared" si="2"/>
        <v>606284.79</v>
      </c>
      <c r="O9" s="355">
        <f t="shared" si="2"/>
        <v>8769.6</v>
      </c>
      <c r="P9" s="301">
        <f t="shared" si="2"/>
        <v>826073.82000000007</v>
      </c>
      <c r="Q9" s="190">
        <f t="shared" si="2"/>
        <v>6973.4</v>
      </c>
      <c r="R9" s="301">
        <f t="shared" si="2"/>
        <v>1176584.5900000001</v>
      </c>
      <c r="S9" s="190">
        <f t="shared" si="2"/>
        <v>9150.1099999999988</v>
      </c>
      <c r="T9" s="301">
        <f t="shared" si="2"/>
        <v>1864705.8900000001</v>
      </c>
      <c r="U9" s="190">
        <f t="shared" si="2"/>
        <v>0</v>
      </c>
      <c r="V9" s="188">
        <f t="shared" si="2"/>
        <v>1812123.0799999998</v>
      </c>
      <c r="W9" s="187">
        <f t="shared" si="2"/>
        <v>1702.73</v>
      </c>
      <c r="X9" s="188">
        <f t="shared" si="2"/>
        <v>1102275.3800000001</v>
      </c>
      <c r="Y9" s="616">
        <f t="shared" si="2"/>
        <v>21348.639999999999</v>
      </c>
      <c r="Z9" s="709">
        <f>+B9+D9+F9+H9+J9+L9+N9+P9+R9+T9+V9+X9</f>
        <v>9466945.1300000008</v>
      </c>
      <c r="AA9" s="190">
        <f>+C9+E9+G9+I9+K9+M9+O9+Q9+S9+U9+W9+Y9</f>
        <v>56894.48</v>
      </c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</row>
    <row r="10" spans="1:72" s="8" customFormat="1" ht="26.25" customHeight="1">
      <c r="A10" s="278" t="s">
        <v>55</v>
      </c>
      <c r="B10" s="281"/>
      <c r="C10" s="604"/>
      <c r="D10" s="607"/>
      <c r="E10" s="608"/>
      <c r="F10" s="137"/>
      <c r="G10" s="205"/>
      <c r="H10" s="206"/>
      <c r="I10" s="689"/>
      <c r="J10" s="137"/>
      <c r="K10" s="136"/>
      <c r="L10" s="249"/>
      <c r="M10" s="245"/>
      <c r="N10" s="249"/>
      <c r="O10" s="350"/>
      <c r="P10" s="249"/>
      <c r="Q10" s="245"/>
      <c r="R10" s="137"/>
      <c r="S10" s="144"/>
      <c r="T10" s="137"/>
      <c r="U10" s="207"/>
      <c r="V10" s="208"/>
      <c r="W10" s="144"/>
      <c r="X10" s="137"/>
      <c r="Y10" s="136"/>
      <c r="Z10" s="249">
        <f>+B10+D10+F10+H10+J10+L10+N10+P10+R10+T10+V10+X10</f>
        <v>0</v>
      </c>
      <c r="AA10" s="245">
        <f t="shared" si="0"/>
        <v>0</v>
      </c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</row>
    <row r="11" spans="1:72" s="8" customFormat="1" ht="27.6" customHeight="1">
      <c r="A11" s="279" t="s">
        <v>56</v>
      </c>
      <c r="B11" s="170">
        <f>'[1]Gastos TC enero 2025'!C76</f>
        <v>30200</v>
      </c>
      <c r="C11" s="125">
        <v>3972.5</v>
      </c>
      <c r="D11" s="215">
        <v>0</v>
      </c>
      <c r="E11" s="344">
        <v>21802.5</v>
      </c>
      <c r="F11" s="97">
        <v>26751</v>
      </c>
      <c r="G11" s="90"/>
      <c r="H11" s="97">
        <f>'[1]Gastos TC abril 2025'!C57</f>
        <v>2000</v>
      </c>
      <c r="I11" s="688">
        <f>3722.5+250</f>
        <v>3972.5</v>
      </c>
      <c r="J11" s="109">
        <f>6000+1000+1500+3000</f>
        <v>11500</v>
      </c>
      <c r="K11" s="165"/>
      <c r="L11" s="250">
        <f>3176</f>
        <v>3176</v>
      </c>
      <c r="M11" s="251"/>
      <c r="N11" s="274"/>
      <c r="O11" s="275"/>
      <c r="P11" s="222">
        <f>2910+5800+800+1400+3000+1500</f>
        <v>15410</v>
      </c>
      <c r="Q11" s="240"/>
      <c r="R11" s="51">
        <f>10000+3000</f>
        <v>13000</v>
      </c>
      <c r="S11" s="88">
        <v>425</v>
      </c>
      <c r="T11" s="132">
        <f>'[1] Gastos TC Octubre 2025'!C51+'[1] Gastos TC Octubre 2025'!C124+3000</f>
        <v>20600</v>
      </c>
      <c r="U11" s="111"/>
      <c r="V11" s="70">
        <f>'[1] Gastos TC Noviembre 2025'!C6+'[1] Gastos TC Noviembre 2025'!C68+'[1] Gastos TC Noviembre 2025'!C73+'[1] Gastos TC Noviembre 2025'!C136</f>
        <v>11750</v>
      </c>
      <c r="W11" s="166"/>
      <c r="X11" s="845">
        <f>'[1] Gastos TC Diciembre 2025'!C95-6300+'[1] Gastos TC Diciembre 2025'!C108+'[1] Gastos TC Diciembre 2025'!C150+1000+7000-3500+5000</f>
        <v>32100</v>
      </c>
      <c r="Y11" s="69"/>
      <c r="Z11" s="300">
        <f>+B11+D11+F11+H11+J11+L11+N11+P11+R11+T11+V11+X11</f>
        <v>166487</v>
      </c>
      <c r="AA11" s="330">
        <f>+C11+E11+G11+I11+K11+M11+O11+Q11+S11+U11+W11+Y11</f>
        <v>30172.5</v>
      </c>
      <c r="AB11" s="891"/>
      <c r="AC11" s="67"/>
      <c r="AD11" s="1"/>
      <c r="AE11"/>
      <c r="AF11" s="1"/>
      <c r="AG11"/>
      <c r="AH11" s="1"/>
      <c r="AI11"/>
      <c r="AJ11" s="1"/>
      <c r="AK11"/>
      <c r="AL11" s="1"/>
      <c r="AM11"/>
      <c r="AN11" s="1"/>
      <c r="AO11"/>
      <c r="AP11" s="1"/>
      <c r="AQ11"/>
      <c r="AR11" s="1"/>
      <c r="AS11"/>
      <c r="AT11" s="1"/>
      <c r="AU11"/>
      <c r="AV11" s="1"/>
      <c r="AW11"/>
      <c r="AX11" s="1"/>
      <c r="AY11"/>
      <c r="AZ11" s="1"/>
      <c r="BA11"/>
      <c r="BB11" s="1"/>
      <c r="BC11"/>
      <c r="BD11" s="1"/>
      <c r="BE11"/>
      <c r="BF11" s="1"/>
      <c r="BG11"/>
      <c r="BH11" s="1"/>
      <c r="BI11"/>
    </row>
    <row r="12" spans="1:72" ht="27.6" customHeight="1">
      <c r="A12" s="280" t="s">
        <v>57</v>
      </c>
      <c r="B12" s="170">
        <v>0</v>
      </c>
      <c r="C12" s="605">
        <v>3972.5</v>
      </c>
      <c r="D12" s="571">
        <f>'[1]Gastos TC febrero 2025'!C7</f>
        <v>2000</v>
      </c>
      <c r="E12" s="602">
        <v>21802.5</v>
      </c>
      <c r="F12" s="173">
        <f>'[1]Gastos TC marzo 2025'!C44+26751+5000+10000</f>
        <v>46751</v>
      </c>
      <c r="G12" s="139"/>
      <c r="H12" s="173">
        <f>'[1]Gastos TC abril 2025'!C56</f>
        <v>3000</v>
      </c>
      <c r="I12" s="688">
        <f>3722.5+250</f>
        <v>3972.5</v>
      </c>
      <c r="J12" s="110">
        <f>3000+8700</f>
        <v>11700</v>
      </c>
      <c r="K12" s="371"/>
      <c r="L12" s="252">
        <f>'[1]Gastos TC junio 2025'!C27+14980+5000-14980</f>
        <v>10000</v>
      </c>
      <c r="M12" s="253"/>
      <c r="N12" s="276"/>
      <c r="O12" s="277"/>
      <c r="P12" s="363">
        <f>3000+4640+10000+800</f>
        <v>18440</v>
      </c>
      <c r="Q12" s="328"/>
      <c r="R12" s="141">
        <f>5000+10000</f>
        <v>15000</v>
      </c>
      <c r="S12" s="126"/>
      <c r="T12" s="127">
        <f>'[1] Gastos TC Octubre 2025'!C55+10000</f>
        <v>11950</v>
      </c>
      <c r="U12" s="126"/>
      <c r="V12" s="71">
        <f>'[1] Gastos TC Noviembre 2025'!C5+'[1] Gastos TC Noviembre 2025'!C37+8200</f>
        <v>17080</v>
      </c>
      <c r="W12" s="176"/>
      <c r="X12" s="142">
        <f>'[1] Gastos TC Diciembre 2025'!C95-12600+'[1] Gastos TC Diciembre 2025'!C107+'[1] Gastos TC Diciembre 2025'!C109+10000+6000</f>
        <v>27300</v>
      </c>
      <c r="Y12" s="303"/>
      <c r="Z12" s="363">
        <f>+B12+D12+F12+H12+J12+L12+N12+P12+R12+T12+V12+X12</f>
        <v>163221</v>
      </c>
      <c r="AA12" s="277">
        <f>+C12+E12+G12+I12+K12+M12+O12+Q12+S12+U12+W12+Y12</f>
        <v>29747.5</v>
      </c>
      <c r="AB12" s="891"/>
      <c r="AC12" s="67"/>
      <c r="AF12" s="1"/>
      <c r="AH12" s="1"/>
      <c r="AJ12" s="1"/>
      <c r="AL12" s="1"/>
      <c r="AN12" s="1"/>
      <c r="AP12" s="1"/>
      <c r="AR12" s="1"/>
      <c r="AT12" s="1"/>
      <c r="AV12" s="1"/>
      <c r="AX12" s="1"/>
      <c r="AZ12" s="1"/>
      <c r="BB12" s="1"/>
      <c r="BD12" s="1"/>
      <c r="BF12" s="1"/>
      <c r="BH12" s="1"/>
    </row>
    <row r="13" spans="1:72" ht="30.6" customHeight="1">
      <c r="A13" s="456" t="s">
        <v>58</v>
      </c>
      <c r="B13" s="446">
        <f>SUM(B10:B12)</f>
        <v>30200</v>
      </c>
      <c r="C13" s="601">
        <f>SUM(C11:C12)</f>
        <v>7945</v>
      </c>
      <c r="D13" s="314">
        <f t="shared" ref="D13:I13" si="3">SUM(D10:D12)</f>
        <v>2000</v>
      </c>
      <c r="E13" s="315">
        <f t="shared" si="3"/>
        <v>43605</v>
      </c>
      <c r="F13" s="345">
        <f t="shared" si="3"/>
        <v>73502</v>
      </c>
      <c r="G13" s="346">
        <f t="shared" si="3"/>
        <v>0</v>
      </c>
      <c r="H13" s="186">
        <f t="shared" si="3"/>
        <v>5000</v>
      </c>
      <c r="I13" s="266">
        <f t="shared" si="3"/>
        <v>7945</v>
      </c>
      <c r="J13" s="195">
        <f t="shared" ref="J13:O13" si="4">SUM(J11:J12)</f>
        <v>23200</v>
      </c>
      <c r="K13" s="192">
        <f t="shared" si="4"/>
        <v>0</v>
      </c>
      <c r="L13" s="295">
        <f t="shared" si="4"/>
        <v>13176</v>
      </c>
      <c r="M13" s="296">
        <f t="shared" si="4"/>
        <v>0</v>
      </c>
      <c r="N13" s="295">
        <f t="shared" si="4"/>
        <v>0</v>
      </c>
      <c r="O13" s="296">
        <f t="shared" si="4"/>
        <v>0</v>
      </c>
      <c r="P13" s="336">
        <f>SUM(P10:P12)</f>
        <v>33850</v>
      </c>
      <c r="Q13" s="329">
        <f>SUM(Q11:Q12)</f>
        <v>0</v>
      </c>
      <c r="R13" s="336">
        <f>SUM(R10:R12)</f>
        <v>28000</v>
      </c>
      <c r="S13" s="266">
        <f>SUM(S11:S12)</f>
        <v>425</v>
      </c>
      <c r="T13" s="719">
        <f>SUM(T10:T12)</f>
        <v>32550</v>
      </c>
      <c r="U13" s="720">
        <f t="shared" ref="U13:X13" si="5">SUM(U10:U12)</f>
        <v>0</v>
      </c>
      <c r="V13" s="336">
        <f t="shared" si="5"/>
        <v>28830</v>
      </c>
      <c r="W13" s="266">
        <f t="shared" si="5"/>
        <v>0</v>
      </c>
      <c r="X13" s="336">
        <f t="shared" si="5"/>
        <v>59400</v>
      </c>
      <c r="Y13" s="616">
        <f>SUM(Y10:Y12)</f>
        <v>0</v>
      </c>
      <c r="Z13" s="327">
        <f>+B13+D13+F13+H13+J13+L13+N13+P13+R13+T13+V13+X13</f>
        <v>329708</v>
      </c>
      <c r="AA13" s="190">
        <f>+C13+E13+G13+I13+K13+M13+O13+Q13+S13+U13+W13+Y13</f>
        <v>59920</v>
      </c>
      <c r="AB13" s="66"/>
      <c r="AC13" s="67"/>
    </row>
    <row r="14" spans="1:72" ht="26.25" customHeight="1">
      <c r="A14" s="492" t="s">
        <v>59</v>
      </c>
      <c r="B14" s="497"/>
      <c r="C14" s="472"/>
      <c r="D14" s="471"/>
      <c r="E14" s="174"/>
      <c r="F14" s="469"/>
      <c r="G14" s="470"/>
      <c r="H14" s="163"/>
      <c r="I14" s="174"/>
      <c r="J14" s="467"/>
      <c r="K14" s="468"/>
      <c r="L14" s="508"/>
      <c r="M14" s="134"/>
      <c r="N14" s="514"/>
      <c r="O14" s="515"/>
      <c r="P14" s="513"/>
      <c r="Q14" s="168" t="s">
        <v>60</v>
      </c>
      <c r="R14" s="514"/>
      <c r="S14" s="515"/>
      <c r="T14" s="523"/>
      <c r="U14" s="721"/>
      <c r="V14" s="514"/>
      <c r="W14" s="169"/>
      <c r="X14" s="514"/>
      <c r="Y14" s="515"/>
      <c r="Z14" s="514"/>
      <c r="AA14" s="515"/>
      <c r="AB14" s="66"/>
      <c r="AC14" s="67"/>
    </row>
    <row r="15" spans="1:72" ht="21">
      <c r="A15" s="493" t="s">
        <v>61</v>
      </c>
      <c r="B15" s="170">
        <f>'[1]Gastos TC enero 2025'!C155</f>
        <v>1686.34</v>
      </c>
      <c r="C15" s="535"/>
      <c r="D15" s="445">
        <f>'[1]Gastos TC febrero 2025'!C124</f>
        <v>1686.34</v>
      </c>
      <c r="E15" s="468"/>
      <c r="F15" s="445">
        <f>'[1]Gastos TC marzo 2025'!C163</f>
        <v>1686.34</v>
      </c>
      <c r="G15" s="468"/>
      <c r="H15" s="445">
        <f>'[1]Gastos TC abril 2025'!C143</f>
        <v>1686.34</v>
      </c>
      <c r="I15" s="468"/>
      <c r="J15" s="445">
        <f>'[1]Gastos TC mayo 2025'!C117</f>
        <v>1875.5</v>
      </c>
      <c r="K15" s="468"/>
      <c r="L15" s="496">
        <f>'[1]Gastos TC junio 2025'!C117</f>
        <v>1875.5</v>
      </c>
      <c r="M15" s="703"/>
      <c r="N15" s="516">
        <f>'[1]Gastos TC julio 2025'!C115</f>
        <v>1875.5</v>
      </c>
      <c r="O15" s="617"/>
      <c r="P15" s="496">
        <f>'[1]Gastos TC Agosto 2025'!C123</f>
        <v>1875.5</v>
      </c>
      <c r="Q15" s="511"/>
      <c r="R15" s="516">
        <f>'[1] Gastos TC Septiembre 2025'!C107</f>
        <v>1875.5</v>
      </c>
      <c r="S15" s="517"/>
      <c r="T15" s="495">
        <f>'[1] Gastos TC Octubre 2025'!C146</f>
        <v>1875.5</v>
      </c>
      <c r="U15" s="65"/>
      <c r="V15" s="520">
        <f>'[1] Gastos TC Noviembre 2025'!C148+6765+20000</f>
        <v>28640.5</v>
      </c>
      <c r="W15" s="65"/>
      <c r="X15" s="257">
        <f>'[1] Gastos TC Diciembre 2025'!C186</f>
        <v>5850</v>
      </c>
      <c r="Y15" s="521"/>
      <c r="Z15" s="257">
        <f>+B15+D15+F15+H15+J15+L15+N15+P15+R15+T15+V15+X15</f>
        <v>52488.86</v>
      </c>
      <c r="AA15" s="330">
        <f t="shared" si="0"/>
        <v>0</v>
      </c>
      <c r="AB15" s="66"/>
      <c r="AC15" s="67"/>
    </row>
    <row r="16" spans="1:72" ht="27.6" customHeight="1">
      <c r="A16" s="763" t="s">
        <v>62</v>
      </c>
      <c r="B16" s="97">
        <v>20000</v>
      </c>
      <c r="C16" s="535"/>
      <c r="D16" s="97">
        <f>20000+10000</f>
        <v>30000</v>
      </c>
      <c r="E16" s="465"/>
      <c r="F16" s="97">
        <f>20000-1000</f>
        <v>19000</v>
      </c>
      <c r="G16" s="468"/>
      <c r="H16" s="97">
        <f>22000-1000-1000</f>
        <v>20000</v>
      </c>
      <c r="I16" s="468"/>
      <c r="J16" s="97">
        <f>22000-1000-1000+5000</f>
        <v>25000</v>
      </c>
      <c r="K16" s="465"/>
      <c r="L16" s="97">
        <f>22000+1500+3000+3000</f>
        <v>29500</v>
      </c>
      <c r="M16" s="627"/>
      <c r="N16" s="170">
        <v>22000</v>
      </c>
      <c r="O16" s="620"/>
      <c r="P16" s="97">
        <f>22000+4500+7000-2500-2500</f>
        <v>28500</v>
      </c>
      <c r="Q16" s="512"/>
      <c r="R16" s="516">
        <f>22000+5000+5000-2000</f>
        <v>30000</v>
      </c>
      <c r="S16" s="519"/>
      <c r="T16" s="97">
        <f>22000+10000-1500-1500</f>
        <v>29000</v>
      </c>
      <c r="U16" s="69"/>
      <c r="V16" s="520">
        <f>22000+10000-1500-1500</f>
        <v>29000</v>
      </c>
      <c r="W16" s="69"/>
      <c r="X16" s="257">
        <f>22000+5000-1500+26000</f>
        <v>51500</v>
      </c>
      <c r="Y16" s="330"/>
      <c r="Z16" s="257">
        <f t="shared" ref="Z16:Z21" si="6">+B16+D16+F16+H16+J16+L16+N16+P16+R16+T16+V16+X16</f>
        <v>333500</v>
      </c>
      <c r="AA16" s="330">
        <f t="shared" si="0"/>
        <v>0</v>
      </c>
      <c r="AB16" s="66"/>
      <c r="AC16" s="67"/>
    </row>
    <row r="17" spans="1:29" ht="27.6" customHeight="1">
      <c r="A17" s="494" t="s">
        <v>63</v>
      </c>
      <c r="B17" s="491">
        <v>7000</v>
      </c>
      <c r="C17" s="535"/>
      <c r="D17" s="491">
        <v>7000</v>
      </c>
      <c r="E17" s="466"/>
      <c r="F17" s="491">
        <v>7000</v>
      </c>
      <c r="G17" s="468"/>
      <c r="H17" s="491">
        <v>7000</v>
      </c>
      <c r="I17" s="468"/>
      <c r="J17" s="491">
        <v>7000</v>
      </c>
      <c r="K17" s="466"/>
      <c r="L17" s="491">
        <v>7000</v>
      </c>
      <c r="M17" s="627"/>
      <c r="N17" s="621">
        <v>7000</v>
      </c>
      <c r="O17" s="619"/>
      <c r="P17" s="491">
        <v>7000</v>
      </c>
      <c r="Q17" s="512"/>
      <c r="R17" s="558">
        <v>7000</v>
      </c>
      <c r="S17" s="519"/>
      <c r="T17" s="491">
        <v>7000</v>
      </c>
      <c r="U17" s="69"/>
      <c r="V17" s="554">
        <v>7000</v>
      </c>
      <c r="W17" s="69"/>
      <c r="X17" s="554">
        <f>7000+7000</f>
        <v>14000</v>
      </c>
      <c r="Y17" s="330"/>
      <c r="Z17" s="257">
        <f t="shared" si="6"/>
        <v>91000</v>
      </c>
      <c r="AA17" s="330">
        <f t="shared" si="0"/>
        <v>0</v>
      </c>
      <c r="AB17" s="66"/>
      <c r="AC17" s="67"/>
    </row>
    <row r="18" spans="1:29" ht="27.6" hidden="1" customHeight="1">
      <c r="A18" s="714" t="s">
        <v>64</v>
      </c>
      <c r="B18" s="454">
        <v>22000</v>
      </c>
      <c r="C18" s="535"/>
      <c r="D18" s="454">
        <v>10731.47</v>
      </c>
      <c r="E18" s="466"/>
      <c r="F18" s="454">
        <v>0</v>
      </c>
      <c r="G18" s="466"/>
      <c r="H18" s="454">
        <v>0</v>
      </c>
      <c r="I18" s="468"/>
      <c r="J18" s="454">
        <v>0</v>
      </c>
      <c r="K18" s="466"/>
      <c r="L18" s="454"/>
      <c r="M18" s="627"/>
      <c r="N18" s="518"/>
      <c r="O18" s="619"/>
      <c r="P18" s="454"/>
      <c r="Q18" s="512"/>
      <c r="R18" s="518"/>
      <c r="S18" s="519"/>
      <c r="T18" s="454"/>
      <c r="U18" s="69"/>
      <c r="V18" s="555"/>
      <c r="W18" s="69"/>
      <c r="X18" s="555"/>
      <c r="Y18" s="330"/>
      <c r="Z18" s="257">
        <f t="shared" si="6"/>
        <v>32731.47</v>
      </c>
      <c r="AA18" s="330">
        <f t="shared" si="0"/>
        <v>0</v>
      </c>
      <c r="AB18" s="66"/>
      <c r="AC18" s="67"/>
    </row>
    <row r="19" spans="1:29" ht="27.6" hidden="1" customHeight="1">
      <c r="A19" s="715" t="s">
        <v>65</v>
      </c>
      <c r="B19" s="454">
        <v>22000</v>
      </c>
      <c r="C19" s="535"/>
      <c r="D19" s="454">
        <v>24000</v>
      </c>
      <c r="E19" s="525"/>
      <c r="F19" s="454">
        <v>24000</v>
      </c>
      <c r="G19" s="525"/>
      <c r="H19" s="454">
        <v>24000</v>
      </c>
      <c r="I19" s="468"/>
      <c r="J19" s="97">
        <f>10500+50000</f>
        <v>60500</v>
      </c>
      <c r="K19" s="525"/>
      <c r="L19" s="454"/>
      <c r="M19" s="628"/>
      <c r="N19" s="518"/>
      <c r="O19" s="622"/>
      <c r="P19" s="454"/>
      <c r="Q19" s="512"/>
      <c r="R19" s="557"/>
      <c r="S19" s="526"/>
      <c r="T19" s="454"/>
      <c r="U19" s="527"/>
      <c r="V19" s="556"/>
      <c r="W19" s="527"/>
      <c r="X19" s="556"/>
      <c r="Y19" s="375"/>
      <c r="Z19" s="257">
        <f t="shared" si="6"/>
        <v>154500</v>
      </c>
      <c r="AA19" s="375">
        <f t="shared" si="0"/>
        <v>0</v>
      </c>
      <c r="AB19" s="66"/>
      <c r="AC19" s="67"/>
    </row>
    <row r="20" spans="1:29" ht="27.6" hidden="1" customHeight="1">
      <c r="A20" s="715" t="s">
        <v>66</v>
      </c>
      <c r="B20" s="609">
        <v>0</v>
      </c>
      <c r="C20" s="535"/>
      <c r="D20" s="610">
        <v>0</v>
      </c>
      <c r="E20" s="525"/>
      <c r="F20" s="610">
        <v>0</v>
      </c>
      <c r="G20" s="525"/>
      <c r="H20" s="612">
        <f>6250+3750</f>
        <v>10000</v>
      </c>
      <c r="I20" s="611"/>
      <c r="J20" s="612">
        <v>22000</v>
      </c>
      <c r="K20" s="525"/>
      <c r="L20" s="612">
        <v>22000</v>
      </c>
      <c r="M20" s="628"/>
      <c r="N20" s="701">
        <v>22000</v>
      </c>
      <c r="O20" s="622"/>
      <c r="P20" s="612">
        <v>22000</v>
      </c>
      <c r="Q20" s="512"/>
      <c r="R20" s="762">
        <v>7451.61</v>
      </c>
      <c r="S20" s="613"/>
      <c r="T20" s="612"/>
      <c r="U20" s="527"/>
      <c r="V20" s="556"/>
      <c r="W20" s="527"/>
      <c r="X20" s="556"/>
      <c r="Y20" s="375"/>
      <c r="Z20" s="257">
        <f t="shared" si="6"/>
        <v>105451.61</v>
      </c>
      <c r="AA20" s="375">
        <f t="shared" si="0"/>
        <v>0</v>
      </c>
      <c r="AB20" s="66"/>
      <c r="AC20" s="67"/>
    </row>
    <row r="21" spans="1:29" ht="27.6" hidden="1" customHeight="1">
      <c r="A21" s="715" t="s">
        <v>67</v>
      </c>
      <c r="B21" s="609"/>
      <c r="C21" s="535"/>
      <c r="D21" s="609"/>
      <c r="E21" s="525"/>
      <c r="F21" s="609"/>
      <c r="G21" s="525"/>
      <c r="H21" s="609"/>
      <c r="I21" s="525"/>
      <c r="J21" s="609"/>
      <c r="K21" s="525"/>
      <c r="L21" s="609"/>
      <c r="M21" s="525"/>
      <c r="N21" s="609"/>
      <c r="O21" s="525"/>
      <c r="P21" s="609"/>
      <c r="Q21" s="525"/>
      <c r="R21" s="609">
        <f>11000+1000</f>
        <v>12000</v>
      </c>
      <c r="S21" s="525"/>
      <c r="T21" s="609">
        <f>11000+2000</f>
        <v>13000</v>
      </c>
      <c r="U21" s="527"/>
      <c r="V21" s="520"/>
      <c r="W21" s="527"/>
      <c r="X21" s="711"/>
      <c r="Y21" s="375"/>
      <c r="Z21" s="257">
        <f t="shared" si="6"/>
        <v>25000</v>
      </c>
      <c r="AA21" s="375">
        <f t="shared" si="0"/>
        <v>0</v>
      </c>
      <c r="AB21" s="66"/>
      <c r="AC21" s="67"/>
    </row>
    <row r="22" spans="1:29" ht="27.6" customHeight="1">
      <c r="A22" s="614" t="s">
        <v>68</v>
      </c>
      <c r="B22" s="556">
        <v>6000</v>
      </c>
      <c r="C22" s="535"/>
      <c r="D22" s="528">
        <v>4500</v>
      </c>
      <c r="E22" s="525"/>
      <c r="F22" s="528">
        <v>6000</v>
      </c>
      <c r="G22" s="525"/>
      <c r="H22" s="528">
        <v>4500</v>
      </c>
      <c r="I22" s="525"/>
      <c r="J22" s="528">
        <v>6000</v>
      </c>
      <c r="K22" s="525"/>
      <c r="L22" s="528">
        <v>3000</v>
      </c>
      <c r="M22" s="628"/>
      <c r="N22" s="702">
        <v>4500</v>
      </c>
      <c r="O22" s="367"/>
      <c r="P22" s="700">
        <v>6000</v>
      </c>
      <c r="Q22" s="69"/>
      <c r="R22" s="170">
        <v>6000</v>
      </c>
      <c r="S22" s="69"/>
      <c r="T22" s="559">
        <f>1500+1500+2000+1500</f>
        <v>6500</v>
      </c>
      <c r="U22" s="69"/>
      <c r="V22" s="181">
        <f>3000+1500</f>
        <v>4500</v>
      </c>
      <c r="W22" s="177"/>
      <c r="X22" s="184">
        <f>1500+1500+1500+1500+5000</f>
        <v>11000</v>
      </c>
      <c r="Y22" s="533"/>
      <c r="Z22" s="257">
        <f>+B22+D22+F22+H22+J22+L22+N22+P22+R22+T22+V22+X22</f>
        <v>68500</v>
      </c>
      <c r="AA22" s="533">
        <f t="shared" si="0"/>
        <v>0</v>
      </c>
      <c r="AB22" s="66"/>
      <c r="AC22" s="67"/>
    </row>
    <row r="23" spans="1:29" ht="27.75" customHeight="1">
      <c r="A23" s="451" t="s">
        <v>69</v>
      </c>
      <c r="B23" s="455">
        <f>SUM(B15:B22)</f>
        <v>78686.34</v>
      </c>
      <c r="C23" s="348">
        <v>0</v>
      </c>
      <c r="D23" s="347">
        <f>SUM(D15:D22)</f>
        <v>77917.81</v>
      </c>
      <c r="E23" s="547">
        <f>SUM(E16:E17)</f>
        <v>0</v>
      </c>
      <c r="F23" s="347">
        <f>SUM(F15:F22)</f>
        <v>57686.34</v>
      </c>
      <c r="G23" s="547">
        <f>SUM(G15:G17)</f>
        <v>0</v>
      </c>
      <c r="H23" s="447">
        <f>SUM(H15:H22)</f>
        <v>67186.34</v>
      </c>
      <c r="I23" s="547">
        <f>SUM(I15:I17)</f>
        <v>0</v>
      </c>
      <c r="J23" s="259">
        <f>SUM(J15:J22)</f>
        <v>122375.5</v>
      </c>
      <c r="K23" s="548">
        <f>SUM(K15:K17)</f>
        <v>0</v>
      </c>
      <c r="L23" s="259">
        <f>SUM(L15:L22)</f>
        <v>63375.5</v>
      </c>
      <c r="M23" s="548">
        <f>SUM(M15:M17)</f>
        <v>0</v>
      </c>
      <c r="N23" s="364">
        <f>SUM(N15:N22)</f>
        <v>57375.5</v>
      </c>
      <c r="O23" s="365">
        <f>SUM(O15:O17)</f>
        <v>0</v>
      </c>
      <c r="P23" s="327">
        <f>SUM(P15:P22)</f>
        <v>65375.5</v>
      </c>
      <c r="Q23" s="335">
        <f>SUM(Q15:Q17)</f>
        <v>0</v>
      </c>
      <c r="R23" s="327">
        <f>SUM(R15:R22)</f>
        <v>64327.11</v>
      </c>
      <c r="S23" s="370">
        <f ca="1">SUM(S14:S203)</f>
        <v>0</v>
      </c>
      <c r="T23" s="327">
        <f>SUM(T14:T22)</f>
        <v>57375.5</v>
      </c>
      <c r="U23" s="370">
        <f>SUM(U16:U17)</f>
        <v>0</v>
      </c>
      <c r="V23" s="193">
        <f>SUM(V14:V22)</f>
        <v>69140.5</v>
      </c>
      <c r="W23" s="194"/>
      <c r="X23" s="193">
        <f>SUM(X14:X22)</f>
        <v>82350</v>
      </c>
      <c r="Y23" s="192">
        <f>SUM(Y15:Y22)</f>
        <v>0</v>
      </c>
      <c r="Z23" s="709">
        <f>+B23+D23+F23+H23+J23+L23+N23+P23+R23+T23+V23+X23</f>
        <v>863171.94</v>
      </c>
      <c r="AA23" s="190">
        <f t="shared" ca="1" si="0"/>
        <v>0</v>
      </c>
      <c r="AB23" s="66"/>
      <c r="AC23" s="67"/>
    </row>
    <row r="24" spans="1:29" ht="21">
      <c r="A24" s="457" t="s">
        <v>70</v>
      </c>
      <c r="B24" s="95"/>
      <c r="C24" s="309"/>
      <c r="D24" s="339"/>
      <c r="E24" s="340"/>
      <c r="F24" s="311"/>
      <c r="G24" s="322"/>
      <c r="H24" s="320"/>
      <c r="I24" s="179"/>
      <c r="J24" s="221"/>
      <c r="K24" s="179"/>
      <c r="L24" s="244"/>
      <c r="M24" s="136"/>
      <c r="N24" s="249"/>
      <c r="O24" s="350"/>
      <c r="P24" s="106"/>
      <c r="Q24" s="237"/>
      <c r="R24" s="106"/>
      <c r="S24" s="50"/>
      <c r="T24" s="249"/>
      <c r="U24" s="245"/>
      <c r="V24" s="138"/>
      <c r="W24" s="111"/>
      <c r="X24" s="106"/>
      <c r="Y24" s="50"/>
      <c r="Z24" s="222">
        <f>+B24+D24+F24+H24+J24+L24+N24+P24+R24</f>
        <v>0</v>
      </c>
      <c r="AA24" s="237">
        <f t="shared" si="0"/>
        <v>0</v>
      </c>
      <c r="AB24" s="66"/>
      <c r="AC24" s="67"/>
    </row>
    <row r="25" spans="1:29" ht="26.85" customHeight="1">
      <c r="A25" s="448" t="s">
        <v>71</v>
      </c>
      <c r="B25" s="51">
        <f>'[1]Gastos TC enero 2025'!C40</f>
        <v>24942.65</v>
      </c>
      <c r="C25" s="309"/>
      <c r="D25" s="49">
        <f>'[1]Gastos TC febrero 2025'!C76+'[1]Gastos TC febrero 2025'!C97</f>
        <v>50861.14</v>
      </c>
      <c r="E25" s="209"/>
      <c r="F25" s="312"/>
      <c r="G25" s="308"/>
      <c r="H25" s="106"/>
      <c r="I25" s="178"/>
      <c r="J25" s="233"/>
      <c r="K25" s="178"/>
      <c r="L25" s="246"/>
      <c r="M25" s="50"/>
      <c r="N25" s="49"/>
      <c r="O25" s="275"/>
      <c r="P25" s="52"/>
      <c r="Q25" s="54"/>
      <c r="R25" s="52">
        <f>'[1] Gastos TC Septiembre 2025'!C80</f>
        <v>42568.15</v>
      </c>
      <c r="S25" s="55"/>
      <c r="T25" s="49">
        <f>'[1] Gastos TC Octubre 2025'!C115</f>
        <v>26154.77</v>
      </c>
      <c r="U25" s="54"/>
      <c r="V25" s="85">
        <v>26318.57</v>
      </c>
      <c r="W25" s="114"/>
      <c r="X25" s="775">
        <f>'[1] Gastos TC Diciembre 2025'!C115</f>
        <v>26601.119999999999</v>
      </c>
      <c r="Y25" s="55"/>
      <c r="Z25" s="749">
        <f>+B25+D25+F25+H25+J25+L25+N25+P25+R25+T25+V25+X25</f>
        <v>197446.39999999999</v>
      </c>
      <c r="AA25" s="54">
        <f t="shared" si="0"/>
        <v>0</v>
      </c>
      <c r="AB25" s="66"/>
      <c r="AC25" s="67"/>
    </row>
    <row r="26" spans="1:29" ht="26.85" customHeight="1">
      <c r="A26" s="449" t="s">
        <v>72</v>
      </c>
      <c r="B26" s="85">
        <v>0</v>
      </c>
      <c r="C26" s="125">
        <v>2450</v>
      </c>
      <c r="D26" s="216"/>
      <c r="E26" s="210"/>
      <c r="F26" s="91"/>
      <c r="G26" s="323"/>
      <c r="H26" s="56"/>
      <c r="I26" s="134"/>
      <c r="J26" s="223"/>
      <c r="K26" s="134"/>
      <c r="L26" s="247"/>
      <c r="M26" s="50"/>
      <c r="N26" s="49"/>
      <c r="O26" s="237"/>
      <c r="P26" s="51"/>
      <c r="Q26" s="237"/>
      <c r="R26" s="145"/>
      <c r="S26" s="172">
        <v>3377.55</v>
      </c>
      <c r="T26" s="369"/>
      <c r="U26" s="87">
        <v>3377.55</v>
      </c>
      <c r="V26" s="133"/>
      <c r="W26" s="87">
        <v>3377.55</v>
      </c>
      <c r="X26" s="51"/>
      <c r="Y26" s="172">
        <v>3377.55</v>
      </c>
      <c r="Z26" s="749">
        <f>+B26+D26+F26+H26+J26+L26+N26+P26+R26+T26+V26+X26</f>
        <v>0</v>
      </c>
      <c r="AA26" s="275">
        <f>+C26+E26+G26+I26+K26+M26+O26+Q26+S26+U26+W26+Y26</f>
        <v>15960.2</v>
      </c>
      <c r="AB26" s="66"/>
      <c r="AC26" s="67"/>
    </row>
    <row r="27" spans="1:29" ht="26.85" customHeight="1">
      <c r="A27" s="449" t="s">
        <v>73</v>
      </c>
      <c r="B27" s="52">
        <f>'[1]Gastos TC enero 2025'!C39+'[1]Gastos TC enero 2025'!C108</f>
        <v>15502.39</v>
      </c>
      <c r="C27" s="211"/>
      <c r="D27" s="216">
        <f>'[1]Gastos TC febrero 2025'!C96</f>
        <v>7875.19</v>
      </c>
      <c r="E27" s="210"/>
      <c r="F27" s="51"/>
      <c r="G27" s="323"/>
      <c r="H27" s="91"/>
      <c r="I27" s="134"/>
      <c r="J27" s="223"/>
      <c r="K27" s="134"/>
      <c r="L27" s="247"/>
      <c r="M27" s="50"/>
      <c r="N27" s="49"/>
      <c r="O27" s="351"/>
      <c r="P27" s="52"/>
      <c r="Q27" s="54"/>
      <c r="R27" s="85">
        <f>'[1] Gastos TC Septiembre 2025'!C82</f>
        <v>10447.19</v>
      </c>
      <c r="S27" s="55"/>
      <c r="T27" s="181">
        <f>'[1] Gastos TC Octubre 2025'!C103</f>
        <v>10851.57</v>
      </c>
      <c r="U27" s="237"/>
      <c r="V27" s="85">
        <f>'[1] Gastos TC Noviembre 2025'!C102</f>
        <v>10713.97</v>
      </c>
      <c r="W27" s="114"/>
      <c r="X27" s="85">
        <f>'[1] Gastos TC Diciembre 2025'!C113</f>
        <v>10941.24</v>
      </c>
      <c r="Y27" s="55"/>
      <c r="Z27" s="749">
        <f>+B27+D27+F27+H27+J27+L27+N27+P27+R27+T27+V27+X27</f>
        <v>66331.55</v>
      </c>
      <c r="AA27" s="54">
        <f>+C27+E27+G27+I27+K27+M27+O27+Q27+S27+U27+W27+Y27</f>
        <v>0</v>
      </c>
      <c r="AB27" s="66"/>
      <c r="AC27" s="67"/>
    </row>
    <row r="28" spans="1:29" ht="26.25" customHeight="1">
      <c r="A28" s="450" t="s">
        <v>74</v>
      </c>
      <c r="B28" s="143"/>
      <c r="C28" s="310"/>
      <c r="D28" s="341"/>
      <c r="E28" s="338"/>
      <c r="F28" s="313"/>
      <c r="G28" s="167"/>
      <c r="H28" s="321"/>
      <c r="I28" s="140">
        <f>-'[1]Gastos TC abril 2025'!C261-'[1]Gastos TC abril 2025'!C262</f>
        <v>7912</v>
      </c>
      <c r="J28" s="260"/>
      <c r="L28" s="248"/>
      <c r="M28" s="140">
        <f>-'[1]Gastos TC junio 2025'!C170+-'[1]Gastos TC junio 2025'!C171</f>
        <v>8572</v>
      </c>
      <c r="N28" s="333"/>
      <c r="O28" s="367"/>
      <c r="P28" s="145"/>
      <c r="Q28" s="240"/>
      <c r="R28" s="145"/>
      <c r="S28" s="368"/>
      <c r="T28" s="333"/>
      <c r="U28" s="277"/>
      <c r="V28" s="145"/>
      <c r="W28" s="113"/>
      <c r="X28" s="145"/>
      <c r="Y28" s="303"/>
      <c r="Z28" s="749">
        <f t="shared" ref="Z28" si="7">+B28+D28+F28+H28+J28+L28+N28+P28+R28+T28</f>
        <v>0</v>
      </c>
      <c r="AA28" s="277">
        <f>+C28+E28+G28+I28+K28+M28+O28+Q28+S28+U28+W28+Y28</f>
        <v>16484</v>
      </c>
      <c r="AB28" s="66"/>
      <c r="AC28" s="67"/>
    </row>
    <row r="29" spans="1:29" ht="26.25" customHeight="1">
      <c r="A29" s="451" t="s">
        <v>75</v>
      </c>
      <c r="B29" s="452">
        <f>SUM(B25:B28)</f>
        <v>40445.040000000001</v>
      </c>
      <c r="C29" s="219">
        <f>SUM(C26:C28)</f>
        <v>2450</v>
      </c>
      <c r="D29" s="317">
        <f>SUM(D25:D28)</f>
        <v>58736.33</v>
      </c>
      <c r="E29" s="202">
        <f>SUM(E24:E28)</f>
        <v>0</v>
      </c>
      <c r="F29" s="195">
        <f t="shared" ref="F29:P29" si="8">SUM(F25:F28)</f>
        <v>0</v>
      </c>
      <c r="G29" s="185">
        <f t="shared" si="8"/>
        <v>0</v>
      </c>
      <c r="H29" s="195">
        <f t="shared" si="8"/>
        <v>0</v>
      </c>
      <c r="I29" s="231">
        <f t="shared" si="8"/>
        <v>7912</v>
      </c>
      <c r="J29" s="261">
        <f t="shared" si="8"/>
        <v>0</v>
      </c>
      <c r="K29" s="262">
        <f t="shared" si="8"/>
        <v>0</v>
      </c>
      <c r="L29" s="261">
        <f t="shared" si="8"/>
        <v>0</v>
      </c>
      <c r="M29" s="262">
        <f>SUM(M25:M28)</f>
        <v>8572</v>
      </c>
      <c r="N29" s="259">
        <f t="shared" si="8"/>
        <v>0</v>
      </c>
      <c r="O29" s="366">
        <f t="shared" si="8"/>
        <v>0</v>
      </c>
      <c r="P29" s="261">
        <f t="shared" si="8"/>
        <v>0</v>
      </c>
      <c r="Q29" s="332">
        <f>SUM(Q24:Q28)</f>
        <v>0</v>
      </c>
      <c r="R29" s="261">
        <f>SUM(R25:R28)</f>
        <v>53015.340000000004</v>
      </c>
      <c r="S29" s="190">
        <f>SUM(S24:S28)</f>
        <v>3377.55</v>
      </c>
      <c r="T29" s="261">
        <f>SUM(T25:T28)</f>
        <v>37006.339999999997</v>
      </c>
      <c r="U29" s="190">
        <f>SUM(U24:U28)</f>
        <v>3377.55</v>
      </c>
      <c r="V29" s="188">
        <f>SUM(V24:V28)</f>
        <v>37032.54</v>
      </c>
      <c r="W29" s="531">
        <f>SUM(W25:W28)</f>
        <v>3377.55</v>
      </c>
      <c r="X29" s="189">
        <f>SUM(X24:X28)</f>
        <v>37542.36</v>
      </c>
      <c r="Y29" s="748">
        <f>SUM(Y24:Y28)</f>
        <v>3377.55</v>
      </c>
      <c r="Z29" s="709">
        <f>+B29+D29+F29+H29+J29+L29+N29+P29+R29+T29+V29+X29</f>
        <v>263777.95</v>
      </c>
      <c r="AA29" s="332">
        <f>+C29+E29+G29+I29+K29+M29+O29+Q29+S29+U29+W29+Y29</f>
        <v>32444.199999999997</v>
      </c>
      <c r="AB29" s="66"/>
      <c r="AC29" s="67"/>
    </row>
    <row r="30" spans="1:29" ht="26.25" customHeight="1">
      <c r="A30" s="453" t="s">
        <v>76</v>
      </c>
      <c r="B30" s="594"/>
      <c r="C30" s="595"/>
      <c r="D30" s="593"/>
      <c r="E30" s="342"/>
      <c r="F30" s="232"/>
      <c r="G30" s="242"/>
      <c r="H30" s="656"/>
      <c r="I30" s="135"/>
      <c r="J30" s="649"/>
      <c r="K30" s="242"/>
      <c r="L30" s="660"/>
      <c r="M30" s="50"/>
      <c r="N30" s="298"/>
      <c r="O30" s="350"/>
      <c r="P30" s="148"/>
      <c r="Q30" s="147"/>
      <c r="R30" s="668"/>
      <c r="S30" s="349"/>
      <c r="T30" s="668"/>
      <c r="U30" s="349"/>
      <c r="V30" s="668"/>
      <c r="W30" s="235"/>
      <c r="X30" s="530"/>
      <c r="Y30" s="349"/>
      <c r="Z30" s="298">
        <f t="shared" ref="Z30:Z40" si="9">+B30+D30+F30+H30+J30+L30+N30+P30+R30</f>
        <v>0</v>
      </c>
      <c r="AA30" s="235">
        <f t="shared" si="0"/>
        <v>0</v>
      </c>
      <c r="AB30" s="66"/>
      <c r="AC30" s="67"/>
    </row>
    <row r="31" spans="1:29" ht="27.6" customHeight="1">
      <c r="A31" s="283" t="s">
        <v>77</v>
      </c>
      <c r="B31" s="49">
        <f>'[1]Gastos TC enero 2025'!E112-'[1]Gastos TC enero 2025'!C97-'[1]Gastos TC enero 2025'!C98-'[1]Gastos TC enero 2025'!C108</f>
        <v>42771.540000000015</v>
      </c>
      <c r="C31" s="532"/>
      <c r="D31" s="51">
        <f>'[1]Gastos TC febrero 2025'!E100-'[1]2025'!D4-'[1]Gastos TC febrero 2025'!C79-'[1]Gastos TC febrero 2025'!C83-'[1]2025'!D25-D47-D27</f>
        <v>46884.719999999987</v>
      </c>
      <c r="E31" s="343"/>
      <c r="F31" s="56">
        <f>'[1]Gastos TC marzo 2025'!C123-'[1]Gastos TC marzo 2025'!C103-'[1]Gastos TC marzo 2025'!C108-'[1]Gastos TC marzo 2025'!C109-'[1]Gastos TC marzo 2025'!C110-F47</f>
        <v>46393.76999999999</v>
      </c>
      <c r="G31" s="69"/>
      <c r="H31" s="657">
        <f>'[1]Gastos TC abril 2025'!E115-'[1]Gastos TC abril 2025'!C87-'[1]Gastos TC abril 2025'!C89-'[1]Gastos TC abril 2025'!C91-'[1]Gastos TC abril 2025'!C92-'[1]Gastos TC abril 2025'!D114</f>
        <v>91362.799999999988</v>
      </c>
      <c r="I31" s="69"/>
      <c r="J31" s="650">
        <f>'[1]Gastos TC mayo 2025'!E97-'[1]Gastos TC mayo 2025'!C77-'[1]Gastos TC mayo 2025'!C79-'[1]Gastos TC mayo 2025'!D96</f>
        <v>65547.63</v>
      </c>
      <c r="K31" s="69">
        <f>'[1]Gastos TC mayo 2025'!C102-K46</f>
        <v>0</v>
      </c>
      <c r="L31" s="661">
        <f>'[1]Gastos TC junio 2025'!E93-'[1]Gastos TC junio 2025'!C69-'[1]Gastos TC junio 2025'!C74</f>
        <v>66131.300000000017</v>
      </c>
      <c r="M31" s="50"/>
      <c r="N31" s="696">
        <f>'[1]Gastos TC julio 2025'!E101-'[1]Gastos TC julio 2025'!C75-'[1]Gastos TC julio 2025'!C76</f>
        <v>144069.37000000002</v>
      </c>
      <c r="O31" s="275"/>
      <c r="P31" s="51">
        <f>'[1]Gastos TC Agosto 2025'!E94-'[1]Gastos TC Agosto 2025'!C73-'[1]Gastos TC Agosto 2025'!C76-'[1]Gastos TC Agosto 2025'!C77-'[1]Gastos TC Agosto 2025'!C80</f>
        <v>32490.609999999997</v>
      </c>
      <c r="Q31" s="670">
        <f>'[1]Gastos TC Agosto 2025'!C103</f>
        <v>814.46</v>
      </c>
      <c r="R31" s="669">
        <f>'[1] Gastos TC Septiembre 2025'!E96-'[1] Gastos TC Septiembre 2025'!D95-'[1] Gastos TC Septiembre 2025'!C75-'[1] Gastos TC Septiembre 2025'!C76-'[1] Gastos TC Septiembre 2025'!C77-'[1] Gastos TC Septiembre 2025'!C80-'[1] Gastos TC Septiembre 2025'!C82-'[1] Gastos TC Septiembre 2025'!C84-'[1] Gastos TC Septiembre 2025'!C86-'[1] Gastos TC Septiembre 2025'!C89</f>
        <v>45544.750000000029</v>
      </c>
      <c r="S31" s="69"/>
      <c r="T31" s="671">
        <f>'[1] Gastos TC Octubre 2025'!E130-'[1] Gastos TC Octubre 2025'!D129-'[1] Gastos TC Octubre 2025'!C91-'[1] Gastos TC Octubre 2025'!C92-'[1] Gastos TC Octubre 2025'!C95-'[1] Gastos TC Octubre 2025'!C96-'[1] Gastos TC Octubre 2025'!C98-'[1] Gastos TC Octubre 2025'!C99-'[1] Gastos TC Octubre 2025'!C103-'[1] Gastos TC Octubre 2025'!C105-'[1] Gastos TC Octubre 2025'!C106-'[1] Gastos TC Octubre 2025'!C107-'[1] Gastos TC Octubre 2025'!C111-'[1] Gastos TC Octubre 2025'!C115-'[1] Gastos TC Octubre 2025'!C124-'[1] Gastos TC Octubre 2025'!C126</f>
        <v>69413.640000000029</v>
      </c>
      <c r="U31" s="177"/>
      <c r="V31" s="444">
        <f>'[1] Gastos TC Noviembre 2025'!E139-'[1] Gastos TC Noviembre 2025'!D138-'[1] Gastos TC Noviembre 2025'!C97-'[1] Gastos TC Noviembre 2025'!C100-'[1] Gastos TC Noviembre 2025'!C102-'[1] Gastos TC Noviembre 2025'!C110-'[1] Gastos TC Noviembre 2025'!C133-'[1] Gastos TC Noviembre 2025'!C134-'[1] Gastos TC Noviembre 2025'!C136</f>
        <v>144427.41000000003</v>
      </c>
      <c r="W31" s="326"/>
      <c r="X31" s="181">
        <f>'[1] Gastos TC Diciembre 2025'!E154-'[1] Gastos TC Diciembre 2025'!D153-'[1] Gastos TC Diciembre 2025'!C95-'[1] Gastos TC Diciembre 2025'!C98-'[1] Gastos TC Diciembre 2025'!C99-'[1] Gastos TC Diciembre 2025'!C107-'[1] Gastos TC Diciembre 2025'!C108-'[1] Gastos TC Diciembre 2025'!C109-'[1] Gastos TC Diciembre 2025'!C112-'[1] Gastos TC Diciembre 2025'!C113-'[1] Gastos TC Diciembre 2025'!C115-'[1] Gastos TC Diciembre 2025'!C116-'[1] Gastos TC Diciembre 2025'!C129-'[1] Gastos TC Diciembre 2025'!C130-'[1] Gastos TC Diciembre 2025'!C131-'[1] Gastos TC Diciembre 2025'!C142-'[1] Gastos TC Diciembre 2025'!C150-'[1] Gastos TC Diciembre 2025'!C151</f>
        <v>220159.44999999995</v>
      </c>
      <c r="Y31" s="69"/>
      <c r="Z31" s="181">
        <f>+B31+D31+F31+H31+J31+L31+N31+P31+R31+T31+V31+X31</f>
        <v>1015196.99</v>
      </c>
      <c r="AA31" s="330">
        <f>+C31+E31+G31+I31+K31+M31+O31+Q31+S31+U31+W31+Y31</f>
        <v>814.46</v>
      </c>
      <c r="AB31" s="66"/>
      <c r="AC31" s="67"/>
    </row>
    <row r="32" spans="1:29" ht="27.6" customHeight="1">
      <c r="A32" s="283" t="s">
        <v>78</v>
      </c>
      <c r="B32" s="49">
        <f>'[1]Gastos TC enero 2025'!E90-'[1]Gastos TC enero 2025'!C10-'[1]Gastos TC enero 2025'!C15-'[1]Gastos TC enero 2025'!C23-'[1]Gastos TC enero 2025'!C29-'[1]Gastos TC enero 2025'!C30-'[1]Gastos TC enero 2025'!C34-'[1]Gastos TC enero 2025'!C35-'[1]Gastos TC enero 2025'!C39-'[1]Gastos TC enero 2025'!C40-'[1]Gastos TC enero 2025'!C76-'[1]Gastos TC enero 2025'!D89</f>
        <v>155950.99000000005</v>
      </c>
      <c r="C32" s="344"/>
      <c r="D32" s="51">
        <f>'[1]Gastos TC febrero 2025'!E68-'[1]Gastos TC febrero 2025'!D67-'[1]Gastos TC febrero 2025'!C7-'[1]Gastos TC febrero 2025'!C18</f>
        <v>141861.74</v>
      </c>
      <c r="E32" s="330"/>
      <c r="F32" s="56">
        <f>'[1]Gastos TC marzo 2025'!E96-'[1]Gastos TC marzo 2025'!C18-'[1]Gastos TC marzo 2025'!D95-'[1]Gastos TC marzo 2025'!C44-F44-F41</f>
        <v>165126.18999999986</v>
      </c>
      <c r="G32" s="69"/>
      <c r="H32" s="650">
        <f>'[1]Gastos TC abril 2025'!E82-'[1]Gastos TC abril 2025'!C13-'[1]Gastos TC abril 2025'!D81-'[1]Gastos TC abril 2025'!C26-'[1]Gastos TC abril 2025'!C30-'[1]Gastos TC abril 2025'!C32-'[1]Gastos TC abril 2025'!C33-'[1]Gastos TC abril 2025'!C37-'[1]Gastos TC abril 2025'!C38-'[1]Gastos TC abril 2025'!C39-'[1]Gastos TC abril 2025'!C41-'[1]Gastos TC abril 2025'!C42-'[1]Gastos TC abril 2025'!C43-'[1]Gastos TC abril 2025'!C56-'[1]Gastos TC abril 2025'!C57-'[1]Gastos TC abril 2025'!C40</f>
        <v>120114.73999999995</v>
      </c>
      <c r="I32" s="69"/>
      <c r="J32" s="650">
        <f>'[1]Gastos TC mayo 2025'!C67-'[1]Gastos TC mayo 2025'!C5-'[1]Gastos TC mayo 2025'!C16-'[1]Gastos TC mayo 2025'!C19-'[1]Gastos TC mayo 2025'!C20-'[1]Gastos TC mayo 2025'!C34-'[1]Gastos TC mayo 2025'!C40</f>
        <v>84374.63</v>
      </c>
      <c r="K32" s="177"/>
      <c r="L32" s="650">
        <f>'[1]Gastos TC junio 2025'!E64-'[1]Gastos TC junio 2025'!D63-'[1]Gastos TC junio 2025'!C10-'[1]Gastos TC junio 2025'!C15-'[1]Gastos TC junio 2025'!C27-'[1]Gastos TC junio 2025'!C29-'[1]Gastos TC junio 2025'!C34-'[1]Gastos TC junio 2025'!C39-'[1]Gastos TC junio 2025'!C41-'[1]Gastos TC junio 2025'!C42-'[1]Gastos TC junio 2025'!C47-'[1]Gastos TC junio 2025'!C52</f>
        <v>48004.770000000026</v>
      </c>
      <c r="M32" s="50"/>
      <c r="N32" s="697">
        <f>'[1]Gastos TC julio 2025'!E61-'[1]Gastos TC julio 2025'!C13-'[1]Gastos TC julio 2025'!D60-'[1]Gastos TC julio 2025'!C18-'[1]Gastos TC julio 2025'!C16-'[1]Gastos TC julio 2025'!C49</f>
        <v>128773.40000000002</v>
      </c>
      <c r="O32" s="237"/>
      <c r="P32" s="51">
        <f>'[1]Gastos TC Agosto 2025'!E60-'[1]Gastos TC Agosto 2025'!C5-'[1]Gastos TC Agosto 2025'!C12-'[1]Gastos TC Agosto 2025'!C44-'[1]Gastos TC Agosto 2025'!C46-'[1]Gastos TC Agosto 2025'!C47-'[1]Gastos TC Agosto 2025'!C50-'[1]Gastos TC Agosto 2025'!C51-'[1]Gastos TC Agosto 2025'!C54-'[1]Gastos TC Agosto 2025'!C56</f>
        <v>83216.489999999991</v>
      </c>
      <c r="Q32" s="665">
        <f>'[1]Gastos TC Agosto 2025'!C65</f>
        <v>116</v>
      </c>
      <c r="R32" s="669">
        <f>'[1] Gastos TC Septiembre 2025'!E63-'[1] Gastos TC Septiembre 2025'!C4-'[1] Gastos TC Septiembre 2025'!C7-'[1] Gastos TC Septiembre 2025'!C37-'[1] Gastos TC Septiembre 2025'!C38-'[1] Gastos TC Septiembre 2025'!C39-'[1] Gastos TC Septiembre 2025'!C40-'[1] Gastos TC Septiembre 2025'!C41-'[1] Gastos TC Septiembre 2025'!C43-'[1] Gastos TC Septiembre 2025'!C47-'[1] Gastos TC Septiembre 2025'!C50-'[1] Gastos TC Septiembre 2025'!C52-'[1] Gastos TC Septiembre 2025'!C53-'[1] Gastos TC Septiembre 2025'!C54-'[1] Gastos TC Septiembre 2025'!C55-'[1] Gastos TC Septiembre 2025'!C56-'[1] Gastos TC Septiembre 2025'!C57-'[1] Gastos TC Septiembre 2025'!C59-'[1] Gastos TC Septiembre 2025'!C60-'[1] Gastos TC Septiembre 2025'!C61</f>
        <v>63428.319999999978</v>
      </c>
      <c r="S32" s="69"/>
      <c r="T32" s="671">
        <f>'[1] Gastos TC Octubre 2025'!E88-'[1] Gastos TC Octubre 2025'!D87-'[1] Gastos TC Octubre 2025'!C5-'[1] Gastos TC Octubre 2025'!C13-'[1] Gastos TC Octubre 2025'!C14-'[1] Gastos TC Octubre 2025'!C16-'[1] Gastos TC Octubre 2025'!C17-'[1] Gastos TC Octubre 2025'!C30-'[1] Gastos TC Octubre 2025'!C51-'[1] Gastos TC Octubre 2025'!C55-'[1] Gastos TC Octubre 2025'!C56-'[1] Gastos TC Octubre 2025'!C69-'[1] Gastos TC Octubre 2025'!C79-'[1] Gastos TC Octubre 2025'!C82-'[1] Gastos TC Octubre 2025'!C86</f>
        <v>173612.0030000002</v>
      </c>
      <c r="U32" s="529"/>
      <c r="V32" s="444">
        <f>'[1] Gastos TC Noviembre 2025'!E82-'[1] Gastos TC Noviembre 2025'!D81-'[1] Gastos TC Noviembre 2025'!C5-'[1] Gastos TC Noviembre 2025'!C6-'[1] Gastos TC Noviembre 2025'!C10-'[1] Gastos TC Noviembre 2025'!C15-'[1] Gastos TC Noviembre 2025'!C21-'[1] Gastos TC Noviembre 2025'!C25-'[1] Gastos TC Noviembre 2025'!C30-'[1] Gastos TC Noviembre 2025'!C32-'[1] Gastos TC Noviembre 2025'!C37-'[1] Gastos TC Noviembre 2025'!C48-'[1] Gastos TC Noviembre 2025'!C49-'[1] Gastos TC Noviembre 2025'!C51-'[1] Gastos TC Noviembre 2025'!C59-'[1] Gastos TC Noviembre 2025'!C66-'[1] Gastos TC Noviembre 2025'!C68-'[1] Gastos TC Noviembre 2025'!C69-'[1] Gastos TC Noviembre 2025'!C73-'[1] Gastos TC Noviembre 2025'!C79</f>
        <v>177010.73999999993</v>
      </c>
      <c r="W32" s="330">
        <f>'[1] Gastos TC Noviembre 2025'!C87</f>
        <v>34.979999999999997</v>
      </c>
      <c r="X32" s="836">
        <f>'[1] Gastos TC Diciembre 2025'!E76-'[1] Gastos TC Diciembre 2025'!D75-'[1] Gastos TC Diciembre 2025'!C8-'[1] Gastos TC Diciembre 2025'!C48-'[1] Gastos TC Diciembre 2025'!C72</f>
        <v>119458.30999999998</v>
      </c>
      <c r="Y32" s="69">
        <f>'[1] Gastos TC Diciembre 2025'!C82</f>
        <v>67.52</v>
      </c>
      <c r="Z32" s="181">
        <f>+B32+D32+F32+H32+J32+L32+N32+P32+R32+T32+V32+X32</f>
        <v>1460932.3230000001</v>
      </c>
      <c r="AA32" s="330">
        <f>+C32+E32+G32+I32+K32+M32+O32+Q32+S32+U32+W32+Y32</f>
        <v>218.5</v>
      </c>
      <c r="AB32" s="66"/>
      <c r="AC32" s="67"/>
    </row>
    <row r="33" spans="1:50" ht="27.6" customHeight="1">
      <c r="A33" s="283" t="s">
        <v>79</v>
      </c>
      <c r="B33" s="181"/>
      <c r="C33" s="344">
        <f>-'[1]Gastos TC enero 2025'!C177</f>
        <v>3368.32</v>
      </c>
      <c r="D33" s="51"/>
      <c r="E33" s="344">
        <f>-'[1]Gastos TC febrero 2025'!C196</f>
        <v>19151.170000000002</v>
      </c>
      <c r="F33" s="101"/>
      <c r="G33" s="69">
        <f>-'[1]Gastos TC marzo 2025'!C197</f>
        <v>3786.27</v>
      </c>
      <c r="H33" s="658"/>
      <c r="I33" s="69">
        <f>-'[1]Gastos TC abril 2025'!C244-I41</f>
        <v>14969.780000000002</v>
      </c>
      <c r="J33" s="650"/>
      <c r="K33" s="177">
        <f>-'[1]Gastos TC mayo 2025'!C207</f>
        <v>7824.5299999999988</v>
      </c>
      <c r="L33" s="650"/>
      <c r="M33" s="50">
        <f>-'[1]Gastos TC junio 2025'!C217-M28</f>
        <v>6669.4999999999945</v>
      </c>
      <c r="N33" s="222"/>
      <c r="O33" s="330">
        <f>-'[1]Gastos TC julio 2025'!C178</f>
        <v>8912.99</v>
      </c>
      <c r="P33" s="106"/>
      <c r="Q33" s="177">
        <f>-'[1]Gastos TC Agosto 2025'!C220</f>
        <v>23215.010000000013</v>
      </c>
      <c r="R33" s="663"/>
      <c r="S33" s="177">
        <f>-'[1] Gastos TC Septiembre 2025'!C213+'[1] Gastos TC Septiembre 2025'!C211+'[1] Gastos TC Septiembre 2025'!C203+'[1] Gastos TC Septiembre 2025'!C199</f>
        <v>3970.7299999999996</v>
      </c>
      <c r="T33" s="666"/>
      <c r="U33" s="69">
        <f>-'[1] Gastos TC Octubre 2025'!C195+'[1] Gastos TC Octubre 2025'!C183</f>
        <v>1151.5</v>
      </c>
      <c r="V33" s="663"/>
      <c r="W33" s="532">
        <f>'[1] Gastos TC Noviembre 2025'!C229+'[1] Gastos TC Noviembre 2025'!C223</f>
        <v>8878.2000000000007</v>
      </c>
      <c r="X33" s="837"/>
      <c r="Y33" s="177">
        <f>'[1] Gastos TC Diciembre 2025'!C282+'[1] Gastos TC Diciembre 2025'!C258+'[1] Gastos TC Diciembre 2025'!C272+'[1] Gastos TC Diciembre 2025'!C249+'[1] Gastos TC Diciembre 2025'!C240</f>
        <v>8586.9499999999953</v>
      </c>
      <c r="Z33" s="181">
        <f t="shared" ref="Z33:Z37" si="10">+B33+D33+F33+H33+J33+L33+N33+P33+R33+T33+V33+X33</f>
        <v>0</v>
      </c>
      <c r="AA33" s="330">
        <f>+C33+E33+G33+I33+K33+M33+O33+Q33+S33+U33+W33+Y33</f>
        <v>110484.95</v>
      </c>
      <c r="AB33" s="66"/>
      <c r="AC33" s="67"/>
    </row>
    <row r="34" spans="1:50" ht="27.6" customHeight="1">
      <c r="A34" s="283" t="s">
        <v>80</v>
      </c>
      <c r="B34" s="257"/>
      <c r="C34" s="596">
        <f>-'[1]Gastos TC enero 2025'!C250</f>
        <v>7868.579999999999</v>
      </c>
      <c r="D34" s="560"/>
      <c r="E34" s="344">
        <f>-'[1]Gastos TC febrero 2025'!C320</f>
        <v>21222.490000000005</v>
      </c>
      <c r="F34" s="68"/>
      <c r="G34" s="65">
        <f>-'[1]Gastos TC marzo 2025'!C253</f>
        <v>5261.5499999999984</v>
      </c>
      <c r="H34" s="651"/>
      <c r="I34" s="177">
        <f>-'[1]Gastos TC abril 2025'!C350-I28</f>
        <v>15811.090000000026</v>
      </c>
      <c r="J34" s="651"/>
      <c r="K34" s="65">
        <f>-'[1]Gastos TC mayo 2025'!C346</f>
        <v>14996.460000000003</v>
      </c>
      <c r="L34" s="650"/>
      <c r="M34" s="172">
        <f>-'[1]Gastos TC junio 2025'!C292+'[1]Gastos TC junio 2025'!C228</f>
        <v>4578.8199999999979</v>
      </c>
      <c r="N34" s="48"/>
      <c r="O34" s="297">
        <f>-'[1]Gastos TC julio 2025'!C238</f>
        <v>1191.5199999999986</v>
      </c>
      <c r="P34" s="106"/>
      <c r="Q34" s="177">
        <f>-'[1]Gastos TC Agosto 2025'!C343+'[1]Gastos TC Agosto 2025'!C235+'[1]Gastos TC Agosto 2025'!C344</f>
        <v>18078.750000000007</v>
      </c>
      <c r="R34" s="664"/>
      <c r="S34" s="723">
        <f>-'[1] Gastos TC Septiembre 2025'!C335+'[1] Gastos TC Septiembre 2025'!C299+'[1] Gastos TC Septiembre 2025'!C302+'[1] Gastos TC Septiembre 2025'!C305+'[1] Gastos TC Septiembre 2025'!C325+'[1] Gastos TC Septiembre 2025'!C331</f>
        <v>11459.699999999995</v>
      </c>
      <c r="T34" s="672"/>
      <c r="U34" s="177">
        <f>-'[1] Gastos TC Octubre 2025'!C255+'[1] Gastos TC Octubre 2025'!C256+'[1] Gastos TC Octubre 2025'!C209+'[1] Gastos TC Octubre 2025'!C214+'[1] Gastos TC Octubre 2025'!C215+'[1] Gastos TC Octubre 2025'!C217+'[1] Gastos TC Octubre 2025'!C218+'[1] Gastos TC Octubre 2025'!C230+'[1] Gastos TC Octubre 2025'!C231</f>
        <v>10993.710000000005</v>
      </c>
      <c r="V34" s="674"/>
      <c r="W34" s="532">
        <f>-'[1] Gastos TC Noviembre 2025'!C303+'[1] Gastos TC Noviembre 2025'!C304</f>
        <v>5032.6599999999971</v>
      </c>
      <c r="X34" s="106"/>
      <c r="Y34" s="177">
        <f>'[1] Gastos TC Diciembre 2025'!C396-'[1] Gastos TC Diciembre 2025'!C397</f>
        <v>12732.349999999997</v>
      </c>
      <c r="Z34" s="181">
        <f t="shared" si="10"/>
        <v>0</v>
      </c>
      <c r="AA34" s="330">
        <f>+C34+E34+G34+I34+K34+M34+O34+Q34+S34+U34+W34+Y34</f>
        <v>129227.68000000004</v>
      </c>
      <c r="AB34" s="66"/>
      <c r="AC34" s="67"/>
    </row>
    <row r="35" spans="1:50" ht="27.6" customHeight="1">
      <c r="A35" s="282" t="s">
        <v>81</v>
      </c>
      <c r="B35" s="49">
        <f>'[1]Gastos TC enero 2025'!D159-'[1]Gastos TC enero 2025'!D160</f>
        <v>5321.34</v>
      </c>
      <c r="C35" s="597"/>
      <c r="D35" s="687">
        <f>'[1]Gastos TC febrero 2025'!D137-'[1]Gastos TC febrero 2025'!D138</f>
        <v>13952.21</v>
      </c>
      <c r="E35" s="443"/>
      <c r="F35" s="686">
        <f>'[1]Gastos TC marzo 2025'!D166-'[1]Gastos TC marzo 2025'!D167-'[1]Gastos TC marzo 2025'!C163</f>
        <v>18544.8</v>
      </c>
      <c r="G35" s="501"/>
      <c r="H35" s="659">
        <f>'[1]Gastos TC abril 2025'!D149-'[1]Gastos TC abril 2025'!D150-'[1]Gastos TC abril 2025'!C143</f>
        <v>6516.940000000006</v>
      </c>
      <c r="I35" s="654"/>
      <c r="J35" s="652">
        <f>'[1]Gastos TC mayo 2025'!D119-'[1]Gastos TC mayo 2025'!D120-'[1]Gastos TC mayo 2025'!C117</f>
        <v>5002.7599999999993</v>
      </c>
      <c r="K35" s="180"/>
      <c r="L35" s="652">
        <f>'[1]Gastos TC junio 2025'!D118-'[1]Gastos TC junio 2025'!D119-'[1]Gastos TC junio 2025'!C117</f>
        <v>13674.999999999998</v>
      </c>
      <c r="M35" s="50"/>
      <c r="N35" s="615">
        <f>'[1]Gastos TC julio 2025'!D121-'[1]Gastos TC julio 2025'!D122-'[1]Gastos TC julio 2025'!C115</f>
        <v>6403.4</v>
      </c>
      <c r="O35" s="698"/>
      <c r="P35" s="138">
        <f>'[1]Gastos TC Agosto 2025'!D125-'[1]Gastos TC Agosto 2025'!D126-'[1]Gastos TC Agosto 2025'!D112</f>
        <v>13521.33</v>
      </c>
      <c r="Q35" s="368"/>
      <c r="R35" s="667">
        <f>'[1] Gastos TC Septiembre 2025'!D110-'[1] Gastos TC Septiembre 2025'!D111</f>
        <v>7789.42</v>
      </c>
      <c r="S35" s="368"/>
      <c r="T35" s="673">
        <f>'[1] Gastos TC Octubre 2025'!D149-'[1] Gastos TC Octubre 2025'!D150-'[1] Gastos TC Octubre 2025'!C146</f>
        <v>9823.9900000000016</v>
      </c>
      <c r="U35" s="368"/>
      <c r="V35" s="667">
        <f>'[1] Gastos TC Noviembre 2025'!D152-'[1] Gastos TC Noviembre 2025'!D153-'[1] Gastos TC Noviembre 2025'!C148</f>
        <v>2770</v>
      </c>
      <c r="W35" s="240"/>
      <c r="X35" s="138">
        <f>'[1] Gastos TC Diciembre 2025'!D174-'[1] Gastos TC Diciembre 2025'!D175</f>
        <v>9679.08</v>
      </c>
      <c r="Y35" s="368"/>
      <c r="Z35" s="181">
        <f>+B35+D35+F35+H35+J35+L35+N35+P35+R35+T35+V35+X35</f>
        <v>113000.27000000002</v>
      </c>
      <c r="AA35" s="330">
        <f t="shared" ref="AA35" si="11">+C35+E35+G35+I35+K35+M35+O35+Q35+S35+U35+W35+Y35</f>
        <v>0</v>
      </c>
      <c r="AB35" s="66"/>
      <c r="AC35" s="67"/>
    </row>
    <row r="36" spans="1:50" s="8" customFormat="1" ht="28.5" customHeight="1">
      <c r="A36" s="282" t="s">
        <v>82</v>
      </c>
      <c r="B36" s="257"/>
      <c r="C36" s="596">
        <f>'[1]Gastos TC enero 2025'!C131</f>
        <v>926.23</v>
      </c>
      <c r="D36" s="51"/>
      <c r="E36" s="125"/>
      <c r="F36" s="475"/>
      <c r="G36" s="512">
        <v>221.31</v>
      </c>
      <c r="H36" s="648"/>
      <c r="I36" s="572">
        <v>0</v>
      </c>
      <c r="J36" s="653"/>
      <c r="K36" s="572"/>
      <c r="L36" s="662"/>
      <c r="M36" s="627"/>
      <c r="N36" s="699"/>
      <c r="O36" s="618"/>
      <c r="P36" s="693"/>
      <c r="Q36" s="627"/>
      <c r="R36" s="475"/>
      <c r="S36" s="627"/>
      <c r="T36" s="475"/>
      <c r="U36" s="627"/>
      <c r="V36" s="475"/>
      <c r="W36" s="627"/>
      <c r="X36" s="475"/>
      <c r="Y36" s="627">
        <f>'[1] Gastos TC Diciembre 2025'!C89</f>
        <v>250</v>
      </c>
      <c r="Z36" s="181">
        <f t="shared" si="10"/>
        <v>0</v>
      </c>
      <c r="AA36" s="330">
        <f>+C36+E36+G36+I36+K36+M36+O36+Q36+S36+U36+W36+Y36</f>
        <v>1397.54</v>
      </c>
      <c r="AB36" s="66"/>
      <c r="AC36" s="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s="8" customFormat="1" ht="28.5" customHeight="1">
      <c r="A37" s="774" t="s">
        <v>83</v>
      </c>
      <c r="B37" s="769"/>
      <c r="C37" s="770"/>
      <c r="D37" s="771"/>
      <c r="E37" s="582"/>
      <c r="F37" s="475"/>
      <c r="G37" s="512"/>
      <c r="H37" s="772">
        <f>'[1]Gastos TC abril 2025'!D177-'[1]Gastos TC abril 2025'!D178</f>
        <v>14782.870000000003</v>
      </c>
      <c r="I37" s="572"/>
      <c r="J37" s="773">
        <f>'[1]Gastos TC mayo 2025'!D136-'[1]Gastos TC mayo 2025'!D137</f>
        <v>6066.8999999999942</v>
      </c>
      <c r="K37" s="572"/>
      <c r="L37" s="662">
        <f>'[1]Gastos TC junio 2025'!D157-'[1]Gastos TC junio 2025'!D158</f>
        <v>28894.51999999999</v>
      </c>
      <c r="M37" s="627"/>
      <c r="N37" s="662">
        <f>'[1]Gastos TC julio 2025'!D147-'[1]Gastos TC julio 2025'!D148</f>
        <v>11766.600000000009</v>
      </c>
      <c r="O37" s="618"/>
      <c r="P37" s="693">
        <f>'[1]Gastos TC Agosto 2025'!D151-'[1]Gastos TC Agosto 2025'!D152-'[1]Gastos TC Agosto 2025'!C133</f>
        <v>28977.989999999998</v>
      </c>
      <c r="Q37" s="627"/>
      <c r="R37" s="475">
        <f>'[1] Gastos TC Septiembre 2025'!D144-'[1] Gastos TC Septiembre 2025'!D145-'[1] Gastos TC Septiembre 2025'!C119-'[1] Gastos TC Septiembre 2025'!C120-'[1] Gastos TC Septiembre 2025'!C117-'[1] Gastos TC Septiembre 2025'!C136</f>
        <v>10462.939999999988</v>
      </c>
      <c r="S37" s="627"/>
      <c r="T37" s="475">
        <f>'[1] Gastos TC Octubre 2025'!D174-'[1] Gastos TC Octubre 2025'!D175-'[1] Gastos TC Octubre 2025'!C163-'[1] Gastos TC Octubre 2025'!C164-'[1] Gastos TC Octubre 2025'!C167</f>
        <v>6944.2800000000061</v>
      </c>
      <c r="U37" s="627"/>
      <c r="V37" s="475">
        <f>'[1] Gastos TC Noviembre 2025'!D187-'[1] Gastos TC Noviembre 2025'!D188-'[1] Gastos TC Noviembre 2025'!C180-'[1] Gastos TC Noviembre 2025'!C184</f>
        <v>22644.850000000006</v>
      </c>
      <c r="W37" s="627"/>
      <c r="X37" s="475">
        <f>'[1] Gastos TC Diciembre 2025'!D208-'[1] Gastos TC Diciembre 2025'!D209-'[1] Gastos TC Diciembre 2025'!C186-'[1] Gastos TC Diciembre 2025'!C203</f>
        <v>19047.260000000002</v>
      </c>
      <c r="Y37" s="627"/>
      <c r="Z37" s="181">
        <f t="shared" si="10"/>
        <v>149588.21000000002</v>
      </c>
      <c r="AA37" s="330">
        <f>+C37+E37+G37+I37+K37+M37+O37+Q37+S37+U37+W37+Y37</f>
        <v>0</v>
      </c>
      <c r="AB37" s="66"/>
      <c r="AC37" s="6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s="8" customFormat="1" ht="28.5" customHeight="1">
      <c r="A38" s="7" t="s">
        <v>84</v>
      </c>
      <c r="B38" s="769"/>
      <c r="C38" s="770">
        <f>31.77+22.33+13.77+114.97+19.37+19.99</f>
        <v>222.2</v>
      </c>
      <c r="D38" s="771"/>
      <c r="E38" s="582">
        <f>19.99</f>
        <v>19.989999999999998</v>
      </c>
      <c r="F38" s="475"/>
      <c r="G38" s="512">
        <f>16.42+16.42+15.61+8.49+1.14+548.91+10.19+15.89+7.93+19.99+6.56</f>
        <v>667.55</v>
      </c>
      <c r="H38" s="648"/>
      <c r="I38" s="765">
        <f>16+44.82+4.92+104.97+27.24+9.43+2.17+105.93+19.99</f>
        <v>335.47</v>
      </c>
      <c r="J38" s="653"/>
      <c r="K38" s="765">
        <f>7.04+411.95+19.99+363.8</f>
        <v>802.78</v>
      </c>
      <c r="L38" s="766"/>
      <c r="M38" s="627">
        <f>34.47+7.02+19.99</f>
        <v>61.47999999999999</v>
      </c>
      <c r="N38" s="768"/>
      <c r="O38" s="367">
        <f>260.01+19.99</f>
        <v>280</v>
      </c>
      <c r="P38" s="106"/>
      <c r="Q38" s="767">
        <f>499.05+19.99</f>
        <v>519.04</v>
      </c>
      <c r="R38" s="475"/>
      <c r="S38" s="767">
        <f>517.88+19.99</f>
        <v>537.87</v>
      </c>
      <c r="T38" s="475"/>
      <c r="U38" s="767">
        <f>553.73+19.99</f>
        <v>573.72</v>
      </c>
      <c r="V38" s="475"/>
      <c r="W38" s="767">
        <f>1417.76+348.29</f>
        <v>1766.05</v>
      </c>
      <c r="X38" s="475"/>
      <c r="Y38" s="767"/>
      <c r="Z38" s="181">
        <f>+B38+D38+F38+H38+J38+L38+N38+P38+R38+T38+V38+X38</f>
        <v>0</v>
      </c>
      <c r="AA38" s="330">
        <f>+C38+E38+G38+I38+K38+M38+O38+Q38+S38+U38+W38+Y38</f>
        <v>5786.15</v>
      </c>
      <c r="AB38" s="66"/>
      <c r="AC38" s="67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ht="26.25" customHeight="1">
      <c r="A39" s="285" t="s">
        <v>85</v>
      </c>
      <c r="B39" s="632">
        <f t="shared" ref="B39:L39" si="12">SUM(B31:B38)</f>
        <v>204043.87000000005</v>
      </c>
      <c r="C39" s="633">
        <f t="shared" si="12"/>
        <v>12385.33</v>
      </c>
      <c r="D39" s="632">
        <f t="shared" si="12"/>
        <v>202698.66999999995</v>
      </c>
      <c r="E39" s="634">
        <f t="shared" si="12"/>
        <v>40393.65</v>
      </c>
      <c r="F39" s="635">
        <f t="shared" si="12"/>
        <v>230064.75999999983</v>
      </c>
      <c r="G39" s="634">
        <f t="shared" si="12"/>
        <v>9936.6799999999967</v>
      </c>
      <c r="H39" s="635">
        <f t="shared" si="12"/>
        <v>232777.34999999992</v>
      </c>
      <c r="I39" s="655">
        <f t="shared" si="12"/>
        <v>31116.340000000029</v>
      </c>
      <c r="J39" s="635">
        <f t="shared" si="12"/>
        <v>160991.92000000001</v>
      </c>
      <c r="K39" s="636">
        <f t="shared" si="12"/>
        <v>23623.77</v>
      </c>
      <c r="L39" s="635">
        <f t="shared" si="12"/>
        <v>156705.59000000003</v>
      </c>
      <c r="M39" s="637">
        <f>SUM(M31:M35)</f>
        <v>11248.319999999992</v>
      </c>
      <c r="N39" s="694">
        <f>SUM(N31:N38)</f>
        <v>291012.77000000008</v>
      </c>
      <c r="O39" s="695">
        <f>SUM(O31:O38)</f>
        <v>10384.509999999998</v>
      </c>
      <c r="P39" s="638">
        <f>SUM(P31:P38)</f>
        <v>158206.41999999998</v>
      </c>
      <c r="Q39" s="637">
        <f>SUM(Q31:Q38)</f>
        <v>42743.260000000017</v>
      </c>
      <c r="R39" s="638">
        <f>SUM(R31:R38)</f>
        <v>127225.43</v>
      </c>
      <c r="S39" s="634">
        <f>SUM(S30:S38)</f>
        <v>15968.299999999996</v>
      </c>
      <c r="T39" s="638">
        <f>SUM(T31:T38)</f>
        <v>259793.9130000002</v>
      </c>
      <c r="U39" s="634">
        <f>SUM(U30:U38)</f>
        <v>12718.930000000004</v>
      </c>
      <c r="V39" s="630">
        <f>SUM(V31:V38)</f>
        <v>346853</v>
      </c>
      <c r="W39" s="634">
        <f>SUM(W30:W38)</f>
        <v>15711.889999999996</v>
      </c>
      <c r="X39" s="639">
        <f>SUM(X30:X38)</f>
        <v>368344.1</v>
      </c>
      <c r="Y39" s="708">
        <f>SUM(Y30:Y38)</f>
        <v>21636.819999999992</v>
      </c>
      <c r="Z39" s="750">
        <f>+B39+D39+F39+H39+J39+L39+N39+P39+R39+T39+V39+X39</f>
        <v>2738717.7930000001</v>
      </c>
      <c r="AA39" s="751">
        <f>+C39+E39+G39+I39+K39+M39+O39+Q39+S39+U39+W39+Y39</f>
        <v>247867.8</v>
      </c>
      <c r="AB39" s="66">
        <f>Z39+(AA39*AA58)</f>
        <v>18379175.973000001</v>
      </c>
      <c r="AC39" s="67"/>
    </row>
    <row r="40" spans="1:50" s="8" customFormat="1" ht="26.25" customHeight="1">
      <c r="A40" s="286" t="s">
        <v>86</v>
      </c>
      <c r="B40" s="640"/>
      <c r="C40" s="641"/>
      <c r="D40" s="642"/>
      <c r="E40" s="220"/>
      <c r="F40" s="232"/>
      <c r="G40" s="220"/>
      <c r="H40" s="232"/>
      <c r="I40" s="105"/>
      <c r="K40" s="242"/>
      <c r="L40" s="643"/>
      <c r="M40" s="629"/>
      <c r="N40" s="644"/>
      <c r="O40" s="297"/>
      <c r="P40" s="644"/>
      <c r="Q40" s="441"/>
      <c r="R40" s="644"/>
      <c r="S40" s="629"/>
      <c r="T40" s="645"/>
      <c r="U40" s="646"/>
      <c r="V40" s="631"/>
      <c r="W40" s="647"/>
      <c r="X40" s="631"/>
      <c r="Y40" s="629"/>
      <c r="Z40" s="298">
        <f t="shared" si="9"/>
        <v>0</v>
      </c>
      <c r="AA40" s="235">
        <f t="shared" si="0"/>
        <v>0</v>
      </c>
      <c r="AB40" s="66"/>
      <c r="AC40" s="67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s="8" customFormat="1" ht="26.25" customHeight="1">
      <c r="A41" s="283" t="s">
        <v>87</v>
      </c>
      <c r="B41" s="215"/>
      <c r="C41" s="211"/>
      <c r="D41" s="128">
        <v>3653</v>
      </c>
      <c r="E41" s="150"/>
      <c r="F41" s="86">
        <f>'[1]Gastos TC marzo 2025'!C66+3017.91+3375</f>
        <v>12242.91</v>
      </c>
      <c r="G41" s="104"/>
      <c r="H41" s="98"/>
      <c r="I41" s="107">
        <f>-'[1]Gastos TC abril 2025'!C200-1199.07</f>
        <v>7038.6399999999994</v>
      </c>
      <c r="J41" s="236">
        <f>2318+'[1]Gastos TC julio 2025'!C16</f>
        <v>5063</v>
      </c>
      <c r="K41" s="124">
        <f>600</f>
        <v>600</v>
      </c>
      <c r="L41" s="236"/>
      <c r="M41" s="50">
        <f>4500+650</f>
        <v>5150</v>
      </c>
      <c r="N41" s="223">
        <f>'[1]Gastos TC julio 2025'!C18</f>
        <v>3800</v>
      </c>
      <c r="O41" s="275">
        <v>3900</v>
      </c>
      <c r="P41" s="215"/>
      <c r="Q41" s="172"/>
      <c r="R41" s="222">
        <f>'[1] Gastos TC Septiembre 2025'!C136-3000</f>
        <v>3000</v>
      </c>
      <c r="S41" s="50"/>
      <c r="T41" s="474"/>
      <c r="U41" s="489"/>
      <c r="V41" s="106"/>
      <c r="W41" s="111">
        <f>-'[1] Gastos TC Noviembre 2025'!C223</f>
        <v>13812.5</v>
      </c>
      <c r="X41" s="106"/>
      <c r="Y41" s="172">
        <f>420-'[1] Gastos TC Diciembre 2025'!C249+1280+1000</f>
        <v>5606.96</v>
      </c>
      <c r="Z41" s="222">
        <f>+B41+D41+F41+H41+J41+L41+N41+P41+R41+T41+V41+X41</f>
        <v>27758.91</v>
      </c>
      <c r="AA41" s="275">
        <f>+C41+E41+G41+I41+K41+M41+O41+Q41+S41+U41+W41+Y41</f>
        <v>36108.1</v>
      </c>
      <c r="AB41" s="66"/>
      <c r="AC41" s="67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s="821" customFormat="1" ht="26.25" customHeight="1">
      <c r="A42" s="283" t="s">
        <v>88</v>
      </c>
      <c r="B42" s="812">
        <f>4000+'[1]Gastos TC enero 2025'!C23 +4000-11250-4000-4000</f>
        <v>3750</v>
      </c>
      <c r="C42" s="813"/>
      <c r="D42" s="814">
        <f>4000+4000+4000+4000+'[1]Gastos TC febrero 2025'!C79+'[1]Gastos TC febrero 2025'!C83-8370-3600-3600-3600-3600-3600</f>
        <v>6285</v>
      </c>
      <c r="E42" s="815"/>
      <c r="F42" s="816">
        <f>'[1]Gastos TC marzo 2025'!C110+22500+20000+4000-10358.3-20250-18000-3600</f>
        <v>5798.6999999999971</v>
      </c>
      <c r="G42" s="817"/>
      <c r="H42" s="818">
        <f>'[1]Gastos TC abril 2025'!C30+'[1]Gastos TC abril 2025'!C26+'[1]Gastos TC abril 2025'!C92+4000+4000-8190-10464.53-3600-3600</f>
        <v>4003.9699999999993</v>
      </c>
      <c r="I42" s="817"/>
      <c r="J42" s="722">
        <f>'[1]Gastos TC mayo 2025'!C16+'[1]Gastos TC mayo 2025'!C19+'[1]Gastos TC mayo 2025'!C20+'[1]Gastos TC mayo 2025'!C34+'[1]Gastos TC mayo 2025'!C40+162000+162000+96000+56405+4000-3700-10800-4845-196564.5-3600-232200</f>
        <v>59855.5</v>
      </c>
      <c r="K42" s="819"/>
      <c r="L42" s="369">
        <f>'[1]Gastos TC junio 2025'!C15+'[1]Gastos TC junio 2025'!C29+'[1]Gastos TC junio 2025'!C34+'[1]Gastos TC junio 2025'!C39+'[1]Gastos TC junio 2025'!C52-10198.08-10089.9-4500-4500</f>
        <v>10459.219999999994</v>
      </c>
      <c r="M42" s="820"/>
      <c r="N42" s="369">
        <f>'[1]Gastos TC julio 2025'!C49-10073.25</f>
        <v>2208.25</v>
      </c>
      <c r="P42" s="822">
        <f>'[1]Gastos TC Agosto 2025'!C44+'[1]Gastos TC Agosto 2025'!C77-10114.83-5400</f>
        <v>1723.8700000000008</v>
      </c>
      <c r="Q42" s="820"/>
      <c r="R42" s="823">
        <f>'[1] Gastos TC Septiembre 2025'!C43+'[1] Gastos TC Septiembre 2025'!C47+'[1] Gastos TC Septiembre 2025'!C52+'[1] Gastos TC Septiembre 2025'!C89-10273.05-4230-2700-25920</f>
        <v>23627.550000000003</v>
      </c>
      <c r="S42" s="820"/>
      <c r="T42" s="824">
        <f>'[1] Gastos TC Octubre 2025'!C69-10639.35</f>
        <v>1182.1499999999996</v>
      </c>
      <c r="U42" s="825">
        <f>-'[1] Gastos TC Octubre 2025'!C183</f>
        <v>82.56</v>
      </c>
      <c r="V42" s="133">
        <f>'[1] Gastos TC Noviembre 2025'!C69+'[1] Gastos TC Noviembre 2025'!C132+'[1] Gastos TC Noviembre 2025'!C133-10556.1-1350-6030</f>
        <v>1992.8999999999996</v>
      </c>
      <c r="W42" s="826"/>
      <c r="X42" s="133">
        <f>'[1] Gastos TC Diciembre 2025'!C98+'[1] Gastos TC Diciembre 2025'!C116-10755.9+'[1] Gastos TC Diciembre 2025'!C142+'[1] Gastos TC Diciembre 2025'!C151-5000</f>
        <v>16695.099999999999</v>
      </c>
      <c r="Y42" s="820"/>
      <c r="Z42" s="823">
        <f t="shared" ref="Z42:AA51" si="13">+B42+D42+F42+H42+J42+L42+N42+P42+R42+T42+V42+X42</f>
        <v>137582.20999999996</v>
      </c>
      <c r="AA42" s="827">
        <f>+C42+E42+G42+I42+K42+M42+O42+Q42+S42+U42+W42+Y42</f>
        <v>82.56</v>
      </c>
      <c r="AB42" s="828"/>
      <c r="AC42" s="829"/>
    </row>
    <row r="43" spans="1:50" s="8" customFormat="1" ht="26.25" customHeight="1">
      <c r="A43" s="283" t="s">
        <v>89</v>
      </c>
      <c r="B43" s="292"/>
      <c r="C43" s="211"/>
      <c r="D43" s="128"/>
      <c r="E43" s="150"/>
      <c r="F43" s="106"/>
      <c r="G43" s="150"/>
      <c r="H43" s="106"/>
      <c r="I43" s="150"/>
      <c r="J43" s="96"/>
      <c r="K43" s="124"/>
      <c r="L43" s="49"/>
      <c r="M43" s="124"/>
      <c r="N43" s="222"/>
      <c r="O43" s="237"/>
      <c r="P43" s="222"/>
      <c r="Q43" s="50"/>
      <c r="R43" s="222"/>
      <c r="S43" s="50"/>
      <c r="T43" s="475"/>
      <c r="U43" s="463"/>
      <c r="V43" s="106"/>
      <c r="W43" s="111"/>
      <c r="X43" s="164">
        <f>'[1] Gastos TC Diciembre 2025'!C129-44178.82</f>
        <v>0</v>
      </c>
      <c r="Y43" s="50"/>
      <c r="Z43" s="222">
        <f t="shared" si="13"/>
        <v>0</v>
      </c>
      <c r="AA43" s="275">
        <f t="shared" si="13"/>
        <v>0</v>
      </c>
      <c r="AB43" s="66"/>
      <c r="AC43" s="67"/>
    </row>
    <row r="44" spans="1:50" s="8" customFormat="1" ht="26.25" customHeight="1">
      <c r="A44" s="283" t="s">
        <v>90</v>
      </c>
      <c r="B44" s="292"/>
      <c r="C44" s="212"/>
      <c r="D44" s="128">
        <f>50000+31859.8</f>
        <v>81859.8</v>
      </c>
      <c r="E44" s="150"/>
      <c r="F44" s="106">
        <f>'[1]Gastos TC marzo 2025'!C76</f>
        <v>109676.8</v>
      </c>
      <c r="G44" s="90"/>
      <c r="H44" s="106"/>
      <c r="I44" s="151"/>
      <c r="J44" s="106"/>
      <c r="K44" s="134"/>
      <c r="L44" s="223"/>
      <c r="M44" s="50"/>
      <c r="N44" s="222"/>
      <c r="O44" s="351"/>
      <c r="P44" s="222"/>
      <c r="Q44" s="50"/>
      <c r="R44" s="222">
        <f>11550+4625+52840+10000+1500+1132+11460</f>
        <v>93107</v>
      </c>
      <c r="S44" s="50"/>
      <c r="T44" s="474">
        <f>'[1] Gastos TC Octubre 2025'!C126+'[1] Gastos TC Octubre 2025'!C163+'[1] Gastos TC Octubre 2025'!C164+'[1] Gastos TC Octubre 2025'!C167+12000</f>
        <v>20804.5</v>
      </c>
      <c r="U44" s="463">
        <f>-'[1] Gastos TC Octubre 2025'!C209-'[1] Gastos TC Octubre 2025'!C214-'[1] Gastos TC Octubre 2025'!C215-'[1] Gastos TC Octubre 2025'!C217-'[1] Gastos TC Octubre 2025'!C218-'[1] Gastos TC Octubre 2025'!C230-'[1] Gastos TC Octubre 2025'!C231</f>
        <v>467.03000000000003</v>
      </c>
      <c r="V44" s="722">
        <f>'[1] Gastos TC Noviembre 2025'!C10+'[1] Gastos TC Noviembre 2025'!C25+'[1] Gastos TC Noviembre 2025'!C30+'[1] Gastos TC Noviembre 2025'!C32+'[1] Gastos TC Noviembre 2025'!C21</f>
        <v>15513.27</v>
      </c>
      <c r="W44" s="121"/>
      <c r="X44" s="106"/>
      <c r="Y44" s="50"/>
      <c r="Z44" s="222">
        <f t="shared" si="13"/>
        <v>320961.37</v>
      </c>
      <c r="AA44" s="275">
        <f>+C44+E44+G44+I44+K44+M44+O44+Q44+S44+U44+W44+Y44</f>
        <v>467.03000000000003</v>
      </c>
      <c r="AB44" s="66"/>
      <c r="AC44" s="67"/>
    </row>
    <row r="45" spans="1:50" s="8" customFormat="1" ht="27" customHeight="1">
      <c r="A45" s="283" t="s">
        <v>91</v>
      </c>
      <c r="B45" s="292"/>
      <c r="C45" s="211"/>
      <c r="D45" s="128"/>
      <c r="E45" s="105"/>
      <c r="F45" s="52"/>
      <c r="G45" s="149"/>
      <c r="H45" s="229"/>
      <c r="I45" s="108"/>
      <c r="J45" s="229"/>
      <c r="K45" s="134"/>
      <c r="L45" s="216"/>
      <c r="M45" s="50"/>
      <c r="N45" s="49"/>
      <c r="O45" s="237"/>
      <c r="P45" s="49"/>
      <c r="Q45" s="50"/>
      <c r="R45" s="222"/>
      <c r="S45" s="50"/>
      <c r="T45" s="475"/>
      <c r="U45" s="463"/>
      <c r="V45" s="106">
        <f>'[1] Gastos TC Noviembre 2025'!C134</f>
        <v>10500</v>
      </c>
      <c r="W45" s="111"/>
      <c r="X45" s="106"/>
      <c r="Y45" s="50"/>
      <c r="Z45" s="222">
        <f t="shared" si="13"/>
        <v>10500</v>
      </c>
      <c r="AA45" s="275">
        <f t="shared" si="13"/>
        <v>0</v>
      </c>
      <c r="AB45" s="66"/>
      <c r="AC45" s="67"/>
    </row>
    <row r="46" spans="1:50" s="8" customFormat="1" ht="26.25" customHeight="1">
      <c r="A46" s="283" t="s">
        <v>92</v>
      </c>
      <c r="B46" s="292">
        <f>'[1]Gastos TC enero 2025'!C29+'[1]Gastos TC enero 2025'!C30+'[1]Gastos TC enero 2025'!C34+'[1]Gastos TC enero 2025'!C35</f>
        <v>16677.97</v>
      </c>
      <c r="C46" s="212"/>
      <c r="D46" s="123">
        <v>5670</v>
      </c>
      <c r="E46" s="104"/>
      <c r="F46" s="51"/>
      <c r="G46" s="107"/>
      <c r="H46" s="106">
        <f>'[1]Gastos TC abril 2025'!C32+'[1]Gastos TC abril 2025'!C33+'[1]Gastos TC abril 2025'!C37+'[1]Gastos TC abril 2025'!C38+'[1]Gastos TC abril 2025'!C39+'[1]Gastos TC abril 2025'!C41+'[1]Gastos TC abril 2025'!C42+'[1]Gastos TC abril 2025'!C43+'[1]Gastos TC abril 2025'!C87+'[1]Gastos TC abril 2025'!C40</f>
        <v>92191.84</v>
      </c>
      <c r="I46" s="108"/>
      <c r="J46" s="106"/>
      <c r="K46" s="124">
        <f>'[1]Gastos TC mayo 2025'!C101</f>
        <v>800</v>
      </c>
      <c r="L46" s="222">
        <f>'[1]Gastos TC junio 2025'!C41+'[1]Gastos TC junio 2025'!C42+'[1]Gastos TC junio 2025'!C47</f>
        <v>23161.18</v>
      </c>
      <c r="M46" s="172">
        <f>-'[1]Gastos TC junio 2025'!C228</f>
        <v>1349.77</v>
      </c>
      <c r="N46" s="222">
        <f>2000+1200</f>
        <v>3200</v>
      </c>
      <c r="O46" s="237"/>
      <c r="P46" s="223">
        <f>'[1]Gastos TC Agosto 2025'!C46+'[1]Gastos TC Agosto 2025'!C47+'[1]Gastos TC Agosto 2025'!C50+'[1]Gastos TC Agosto 2025'!C51+'[1]Gastos TC Agosto 2025'!C54+'[1]Gastos TC Agosto 2025'!C56+'[1]Gastos TC Agosto 2025'!C80+'[1]Gastos TC Agosto 2025'!C112+'[1]Gastos TC Agosto 2025'!C133+12399+5580+25000+2000</f>
        <v>68868.92</v>
      </c>
      <c r="Q46" s="172"/>
      <c r="R46" s="222">
        <f>'[1] Gastos TC Septiembre 2025'!C37+'[1] Gastos TC Septiembre 2025'!C38+'[1] Gastos TC Septiembre 2025'!C39+'[1] Gastos TC Septiembre 2025'!C40+'[1] Gastos TC Septiembre 2025'!C41+'[1] Gastos TC Septiembre 2025'!C50+'[1] Gastos TC Septiembre 2025'!C53+'[1] Gastos TC Septiembre 2025'!C54+'[1] Gastos TC Septiembre 2025'!C55+'[1] Gastos TC Septiembre 2025'!C56+'[1] Gastos TC Septiembre 2025'!C57+'[1] Gastos TC Septiembre 2025'!C59+'[1] Gastos TC Septiembre 2025'!C77+'[1] Gastos TC Septiembre 2025'!C84+'[1] Gastos TC Septiembre 2025'!C119+'[1] Gastos TC Septiembre 2025'!C120</f>
        <v>81728.37</v>
      </c>
      <c r="S46" s="177">
        <f>-'[1] Gastos TC Septiembre 2025'!C199-'[1] Gastos TC Septiembre 2025'!C203</f>
        <v>2369.1999999999998</v>
      </c>
      <c r="T46" s="475">
        <f>'[1] Gastos TC Octubre 2025'!C5</f>
        <v>14500</v>
      </c>
      <c r="U46" s="182"/>
      <c r="V46" s="106">
        <f>3200+11592.32+'[1] Gastos TC Noviembre 2025'!C184</f>
        <v>27772.32</v>
      </c>
      <c r="W46" s="111"/>
      <c r="X46" s="98"/>
      <c r="Y46" s="172">
        <f>-'[1] Gastos TC Diciembre 2025'!C240</f>
        <v>815.94</v>
      </c>
      <c r="Z46" s="222">
        <f t="shared" si="13"/>
        <v>333770.59999999998</v>
      </c>
      <c r="AA46" s="275">
        <f>+C46+E46+G46+I46+K46+M46+O46+Q46+S46+U46+W46+Y46</f>
        <v>5334.91</v>
      </c>
      <c r="AB46" s="33"/>
      <c r="AC46" s="67"/>
    </row>
    <row r="47" spans="1:50" s="8" customFormat="1" ht="27.6" customHeight="1">
      <c r="A47" s="283" t="s">
        <v>93</v>
      </c>
      <c r="B47" s="318">
        <f>'[1]Gastos TC enero 2025'!C97</f>
        <v>11790</v>
      </c>
      <c r="C47" s="213"/>
      <c r="D47" s="318">
        <f>'[1]Gastos TC febrero 2025'!C85</f>
        <v>12970</v>
      </c>
      <c r="E47" s="108"/>
      <c r="F47" s="91">
        <f>'[1]Gastos TC marzo 2025'!C106</f>
        <v>12970</v>
      </c>
      <c r="G47" s="149"/>
      <c r="H47" s="152">
        <f>'[1]Gastos TC abril 2025'!C89</f>
        <v>12970</v>
      </c>
      <c r="I47" s="108"/>
      <c r="J47" s="152">
        <f>'[1]Gastos TC mayo 2025'!C77</f>
        <v>12970</v>
      </c>
      <c r="K47" s="124"/>
      <c r="L47" s="238">
        <f>'[1]Gastos TC junio 2025'!C69</f>
        <v>12970</v>
      </c>
      <c r="M47" s="50"/>
      <c r="N47" s="238">
        <f>'[1]Gastos TC julio 2025'!C76</f>
        <v>12970</v>
      </c>
      <c r="O47" s="237"/>
      <c r="P47" s="238">
        <f>'[1]Gastos TC Agosto 2025'!C76</f>
        <v>12970</v>
      </c>
      <c r="Q47" s="50"/>
      <c r="R47" s="238">
        <f>'[1] Gastos TC Septiembre 2025'!C75</f>
        <v>12970</v>
      </c>
      <c r="S47" s="50"/>
      <c r="T47" s="476">
        <f>'[1] Gastos TC Octubre 2025'!C91</f>
        <v>12970</v>
      </c>
      <c r="U47" s="463"/>
      <c r="V47" s="112">
        <f>'[1] Gastos TC Noviembre 2025'!C100</f>
        <v>12970</v>
      </c>
      <c r="W47" s="111"/>
      <c r="X47" s="112">
        <f>'[1] Gastos TC Diciembre 2025'!C112</f>
        <v>12970</v>
      </c>
      <c r="Y47" s="50"/>
      <c r="Z47" s="222">
        <f t="shared" si="13"/>
        <v>154460</v>
      </c>
      <c r="AA47" s="275">
        <f t="shared" si="13"/>
        <v>0</v>
      </c>
      <c r="AB47" s="32"/>
      <c r="AC47" s="67"/>
    </row>
    <row r="48" spans="1:50" s="8" customFormat="1" ht="29.25" customHeight="1">
      <c r="A48" s="283" t="s">
        <v>94</v>
      </c>
      <c r="B48" s="292"/>
      <c r="C48" s="212"/>
      <c r="D48" s="128"/>
      <c r="E48" s="108"/>
      <c r="F48" s="106"/>
      <c r="G48" s="90"/>
      <c r="H48" s="106">
        <f>575+85131.8+85131.8</f>
        <v>170838.6</v>
      </c>
      <c r="I48" s="108"/>
      <c r="J48" s="164"/>
      <c r="K48" s="134"/>
      <c r="L48" s="223"/>
      <c r="M48" s="50"/>
      <c r="N48" s="222"/>
      <c r="O48" s="237"/>
      <c r="P48" s="331"/>
      <c r="Q48" s="50"/>
      <c r="R48" s="49"/>
      <c r="T48" s="477"/>
      <c r="U48" s="463"/>
      <c r="V48" s="106"/>
      <c r="W48" s="111"/>
      <c r="X48" s="106"/>
      <c r="Y48" s="50"/>
      <c r="Z48" s="222">
        <f t="shared" si="13"/>
        <v>170838.6</v>
      </c>
      <c r="AA48" s="275">
        <f t="shared" si="13"/>
        <v>0</v>
      </c>
      <c r="AB48" s="30"/>
      <c r="AC48" s="273"/>
      <c r="AD48" s="201"/>
    </row>
    <row r="49" spans="1:32" s="201" customFormat="1" ht="26.25" customHeight="1">
      <c r="A49" s="569" t="s">
        <v>95</v>
      </c>
      <c r="B49" s="292">
        <v>3540</v>
      </c>
      <c r="C49" s="267"/>
      <c r="D49" s="316">
        <v>5955</v>
      </c>
      <c r="E49" s="268"/>
      <c r="F49" s="86">
        <v>9505</v>
      </c>
      <c r="G49" s="268"/>
      <c r="H49" s="86">
        <v>2450</v>
      </c>
      <c r="I49" s="108"/>
      <c r="J49" s="86">
        <f>250+1500+400+2500+700+200+300+10000+2500-10000-2500</f>
        <v>5850</v>
      </c>
      <c r="K49" s="269"/>
      <c r="L49" s="473">
        <f>600+6000+450+2500+250+2000+100+3500+500+5100+100-2500-3500-5100</f>
        <v>10000</v>
      </c>
      <c r="M49" s="325"/>
      <c r="N49" s="374">
        <f>50+300+400+400+4500+150+7500+150-4500-7500</f>
        <v>1450</v>
      </c>
      <c r="O49" s="270"/>
      <c r="P49" s="374">
        <f>150+800+50+150+500+4000+550+1500+275+1555+850+3500+200+1170+150-4000-3500</f>
        <v>7900</v>
      </c>
      <c r="Q49" s="325"/>
      <c r="R49" s="509">
        <f>2000+1250+450+2000+600+1500+2500+1000+1350+9000-9000</f>
        <v>12650</v>
      </c>
      <c r="S49" s="325"/>
      <c r="T49" s="510">
        <f>300+150+3600+700+800+1150+450+1200+500+600</f>
        <v>9450</v>
      </c>
      <c r="U49" s="478"/>
      <c r="V49" s="510">
        <f>150+2200+3000+300+1550+1700+1350+3350+800</f>
        <v>14400</v>
      </c>
      <c r="W49" s="271"/>
      <c r="X49" s="86">
        <f>10200+1100+200+300+1600+1000-10200-1000+2500+800+650</f>
        <v>7150</v>
      </c>
      <c r="Y49" s="325"/>
      <c r="Z49" s="222">
        <f t="shared" si="13"/>
        <v>90300</v>
      </c>
      <c r="AA49" s="275">
        <f t="shared" si="13"/>
        <v>0</v>
      </c>
      <c r="AB49" s="272"/>
      <c r="AC49" s="273"/>
    </row>
    <row r="50" spans="1:32" s="201" customFormat="1" ht="26.25" customHeight="1">
      <c r="A50" s="570" t="s">
        <v>96</v>
      </c>
      <c r="B50" s="292">
        <v>16499.330000000002</v>
      </c>
      <c r="C50" s="499"/>
      <c r="D50" s="316">
        <v>20685.91</v>
      </c>
      <c r="E50" s="500"/>
      <c r="F50" s="109">
        <v>18211.54</v>
      </c>
      <c r="G50" s="500"/>
      <c r="H50" s="109">
        <v>12863</v>
      </c>
      <c r="I50" s="146"/>
      <c r="J50" s="86">
        <v>17700</v>
      </c>
      <c r="K50" s="501"/>
      <c r="L50" s="473">
        <v>22835.84</v>
      </c>
      <c r="M50" s="502"/>
      <c r="N50" s="503">
        <v>12638.2</v>
      </c>
      <c r="O50" s="504"/>
      <c r="P50" s="503">
        <f>11934.21</f>
        <v>11934.21</v>
      </c>
      <c r="Q50" s="502"/>
      <c r="R50" s="250">
        <v>31987.95</v>
      </c>
      <c r="S50" s="368"/>
      <c r="T50" s="507">
        <v>24133.21</v>
      </c>
      <c r="U50" s="505"/>
      <c r="V50" s="524">
        <v>27364.58</v>
      </c>
      <c r="W50" s="506"/>
      <c r="X50" s="86">
        <v>17386.650000000001</v>
      </c>
      <c r="Y50" s="502"/>
      <c r="Z50" s="222">
        <f t="shared" si="13"/>
        <v>234240.42</v>
      </c>
      <c r="AA50" s="275">
        <f>+C50+E50+G50+I50+K50+M50+O50+Q50+S50+U50+W50+Y50</f>
        <v>0</v>
      </c>
      <c r="AB50" s="272"/>
      <c r="AC50" s="28"/>
      <c r="AD50" s="8"/>
    </row>
    <row r="51" spans="1:32" s="201" customFormat="1" ht="26.25" customHeight="1">
      <c r="A51" s="284" t="s">
        <v>97</v>
      </c>
      <c r="B51" s="293"/>
      <c r="C51" s="499"/>
      <c r="D51" s="316"/>
      <c r="E51" s="500"/>
      <c r="F51" s="109"/>
      <c r="G51" s="500"/>
      <c r="H51" s="109"/>
      <c r="I51" s="146"/>
      <c r="J51" s="86"/>
      <c r="K51" s="501"/>
      <c r="L51" s="473"/>
      <c r="M51" s="502"/>
      <c r="N51" s="503"/>
      <c r="O51" s="504"/>
      <c r="P51" s="503">
        <f>'[1]Gastos TC Agosto 2025'!C5+'[1]Gastos TC Agosto 2025'!C57</f>
        <v>9135.0400000000009</v>
      </c>
      <c r="Q51" s="502"/>
      <c r="R51" s="250">
        <f>'[1] Gastos TC Septiembre 2025'!C60</f>
        <v>4335.7</v>
      </c>
      <c r="S51" s="368"/>
      <c r="T51" s="507">
        <f>'[1] Gastos TC Octubre 2025'!C82</f>
        <v>4350.0200000000004</v>
      </c>
      <c r="U51" s="505"/>
      <c r="V51" s="524">
        <f>'[1] Gastos TC Noviembre 2025'!C79</f>
        <v>4350</v>
      </c>
      <c r="W51" s="506"/>
      <c r="X51" s="86">
        <f>'[1] Gastos TC Diciembre 2025'!C72</f>
        <v>4353.2700000000004</v>
      </c>
      <c r="Y51" s="502"/>
      <c r="Z51" s="222">
        <f t="shared" si="13"/>
        <v>26524.030000000002</v>
      </c>
      <c r="AA51" s="275">
        <f>+C51+E51+G51+I51+K51+M51+O51+Q51+S51+U51+W51+Y51</f>
        <v>0</v>
      </c>
      <c r="AB51" s="272"/>
      <c r="AC51" s="28"/>
      <c r="AD51" s="8"/>
    </row>
    <row r="52" spans="1:32" s="8" customFormat="1" ht="27" customHeight="1">
      <c r="A52" s="284" t="s">
        <v>98</v>
      </c>
      <c r="B52" s="294"/>
      <c r="C52" s="214"/>
      <c r="D52" s="128">
        <f>5899.5+1800+1300</f>
        <v>8999.5</v>
      </c>
      <c r="E52" s="104">
        <v>730</v>
      </c>
      <c r="F52" s="138"/>
      <c r="G52" s="107"/>
      <c r="H52" s="142">
        <f>2600+5200+20000</f>
        <v>27800</v>
      </c>
      <c r="I52" s="153"/>
      <c r="J52" s="98">
        <f>3900+8500+1000</f>
        <v>13400</v>
      </c>
      <c r="K52" s="234"/>
      <c r="L52" s="239"/>
      <c r="M52" s="175">
        <f>295+38.54</f>
        <v>333.54</v>
      </c>
      <c r="N52" s="373"/>
      <c r="O52" s="375"/>
      <c r="P52" s="333">
        <v>11000</v>
      </c>
      <c r="Q52" s="303">
        <v>360</v>
      </c>
      <c r="R52" s="363">
        <f>+'[1] Gastos TC Octubre 2025'!C92-11890+'[1] Gastos TC Octubre 2025'!C56-5200+8000</f>
        <v>26580</v>
      </c>
      <c r="S52" s="303">
        <v>1225</v>
      </c>
      <c r="T52" s="479">
        <v>6726</v>
      </c>
      <c r="U52" s="464"/>
      <c r="V52" s="154">
        <f>3000+8555</f>
        <v>11555</v>
      </c>
      <c r="W52" s="155"/>
      <c r="X52" s="164">
        <f>'[1] Gastos TC Diciembre 2025'!C130+'[1] Gastos TC Diciembre 2025'!C131-6390-6390-6390-12780-6390+4032</f>
        <v>23202</v>
      </c>
      <c r="Y52" s="230"/>
      <c r="Z52" s="222">
        <f>+B52+D52+F52+H52+J52+L52+N52+P52+R52+T52+V52+X52</f>
        <v>129262.5</v>
      </c>
      <c r="AA52" s="275">
        <f>+C52+E52+G52+I52+K52+M52+O52+Q52+S52+U52+W52+Y52</f>
        <v>2648.54</v>
      </c>
      <c r="AB52" s="29"/>
      <c r="AC52" s="27"/>
    </row>
    <row r="53" spans="1:32" s="8" customFormat="1" ht="31.5" customHeight="1">
      <c r="A53" s="287" t="s">
        <v>99</v>
      </c>
      <c r="B53" s="217">
        <f t="shared" ref="B53:L53" si="14">SUM(B41:B52)</f>
        <v>52257.3</v>
      </c>
      <c r="C53" s="197">
        <f t="shared" si="14"/>
        <v>0</v>
      </c>
      <c r="D53" s="319">
        <f>SUM(D41:D52)</f>
        <v>146078.21</v>
      </c>
      <c r="E53" s="196">
        <f t="shared" si="14"/>
        <v>730</v>
      </c>
      <c r="F53" s="191">
        <f t="shared" si="14"/>
        <v>168404.95</v>
      </c>
      <c r="G53" s="196">
        <f t="shared" si="14"/>
        <v>0</v>
      </c>
      <c r="H53" s="191">
        <f t="shared" si="14"/>
        <v>323117.41000000003</v>
      </c>
      <c r="I53" s="196">
        <f t="shared" si="14"/>
        <v>7038.6399999999994</v>
      </c>
      <c r="J53" s="191">
        <f t="shared" si="14"/>
        <v>114838.5</v>
      </c>
      <c r="K53" s="258">
        <f t="shared" si="14"/>
        <v>1400</v>
      </c>
      <c r="L53" s="191">
        <f t="shared" si="14"/>
        <v>79426.239999999991</v>
      </c>
      <c r="M53" s="299">
        <f t="shared" ref="M53:P53" si="15">SUM(M40:M52)</f>
        <v>6833.31</v>
      </c>
      <c r="N53" s="301">
        <f t="shared" si="15"/>
        <v>36266.449999999997</v>
      </c>
      <c r="O53" s="302">
        <f t="shared" si="15"/>
        <v>3900</v>
      </c>
      <c r="P53" s="327">
        <f t="shared" si="15"/>
        <v>123532.04000000001</v>
      </c>
      <c r="Q53" s="302">
        <f>SUM(Q40:Q52)</f>
        <v>360</v>
      </c>
      <c r="R53" s="327">
        <f>SUM(R40:R52)</f>
        <v>289986.57</v>
      </c>
      <c r="S53" s="348">
        <f>SUM(S40:S52)</f>
        <v>3594.2</v>
      </c>
      <c r="T53" s="327">
        <f>SUM(T40:T52)</f>
        <v>94115.88</v>
      </c>
      <c r="U53" s="370">
        <f t="shared" ref="U53:Y53" si="16">SUM(U40:U52)</f>
        <v>549.59</v>
      </c>
      <c r="V53" s="198">
        <f>SUM(V40:V52)</f>
        <v>126418.06999999999</v>
      </c>
      <c r="W53" s="199">
        <f>SUM(W40:W52)</f>
        <v>13812.5</v>
      </c>
      <c r="X53" s="198">
        <f>SUM(X40:X52)</f>
        <v>81757.02</v>
      </c>
      <c r="Y53" s="752">
        <f t="shared" si="16"/>
        <v>6422.9</v>
      </c>
      <c r="Z53" s="301">
        <f>+B53+D53+F53+H53+J53+L53+N53+P53+R53+T53+V53+X53</f>
        <v>1636198.6400000004</v>
      </c>
      <c r="AA53" s="753">
        <f>+C53+E53+G53+I53+K53+M53+O53+Q53+S53+U53+W53+Y53</f>
        <v>44641.140000000007</v>
      </c>
      <c r="AB53" s="20"/>
      <c r="AC53" s="26"/>
    </row>
    <row r="54" spans="1:32" s="8" customFormat="1" ht="31.5" customHeight="1">
      <c r="A54" s="288" t="s">
        <v>100</v>
      </c>
      <c r="B54" s="218">
        <f t="shared" ref="B54:R54" si="17">B53+B39+B29+B23+B13+B9</f>
        <v>658698.5</v>
      </c>
      <c r="C54" s="337">
        <f>C53+C39+C29+C23+C13+C9</f>
        <v>22780.33</v>
      </c>
      <c r="D54" s="218">
        <f t="shared" si="17"/>
        <v>636974.16999999993</v>
      </c>
      <c r="E54" s="337">
        <f t="shared" si="17"/>
        <v>84728.65</v>
      </c>
      <c r="F54" s="218">
        <f t="shared" si="17"/>
        <v>708444.80999999982</v>
      </c>
      <c r="G54" s="337">
        <f t="shared" si="17"/>
        <v>9936.6799999999967</v>
      </c>
      <c r="H54" s="218">
        <f t="shared" si="17"/>
        <v>814603.69</v>
      </c>
      <c r="I54" s="337">
        <f t="shared" si="17"/>
        <v>54211.980000000025</v>
      </c>
      <c r="J54" s="218">
        <f t="shared" si="17"/>
        <v>587997.34000000008</v>
      </c>
      <c r="K54" s="337">
        <f t="shared" si="17"/>
        <v>33773.770000000004</v>
      </c>
      <c r="L54" s="218">
        <f t="shared" si="17"/>
        <v>1457071.04</v>
      </c>
      <c r="M54" s="337">
        <f t="shared" si="17"/>
        <v>26653.629999999994</v>
      </c>
      <c r="N54" s="218">
        <f t="shared" si="17"/>
        <v>990939.51000000013</v>
      </c>
      <c r="O54" s="352">
        <f>O53+O39+O29+O23+O13+O9</f>
        <v>23054.11</v>
      </c>
      <c r="P54" s="376">
        <f t="shared" si="17"/>
        <v>1207037.78</v>
      </c>
      <c r="Q54" s="352">
        <f t="shared" si="17"/>
        <v>50076.660000000018</v>
      </c>
      <c r="R54" s="218">
        <f t="shared" si="17"/>
        <v>1739139.04</v>
      </c>
      <c r="S54" s="442">
        <f>S9+S13+S29+S39+S53</f>
        <v>32515.159999999996</v>
      </c>
      <c r="T54" s="218">
        <f>T53+T39+T29+T23+T13+T9</f>
        <v>2345547.523</v>
      </c>
      <c r="U54" s="352">
        <f t="shared" ref="U54:Y54" si="18">U53+U39+U29+U23+U13+U9</f>
        <v>16646.070000000003</v>
      </c>
      <c r="V54" s="218">
        <f t="shared" si="18"/>
        <v>2420397.19</v>
      </c>
      <c r="W54" s="352">
        <f>W53+W39+W29+W23+W13+W9</f>
        <v>34604.67</v>
      </c>
      <c r="X54" s="218">
        <f t="shared" si="18"/>
        <v>1731668.86</v>
      </c>
      <c r="Y54" s="352">
        <f t="shared" si="18"/>
        <v>52785.909999999989</v>
      </c>
      <c r="Z54" s="218">
        <f>+B54+D54+F54+H54+J54+L54+N54+P54+R54+T54+V54+X54</f>
        <v>15298519.452999998</v>
      </c>
      <c r="AA54" s="352">
        <f>C54+E54+G54+I54+K54+M54+O54+Q54+S54+U54+W54+Y54</f>
        <v>441767.62</v>
      </c>
      <c r="AB54" s="18"/>
      <c r="AC54" s="23"/>
    </row>
    <row r="55" spans="1:32" s="24" customFormat="1" ht="31.5" customHeight="1">
      <c r="A55" s="289" t="s">
        <v>101</v>
      </c>
      <c r="B55" s="892">
        <f>+B54+(C54*C58)</f>
        <v>2066418.1044820002</v>
      </c>
      <c r="C55" s="893"/>
      <c r="D55" s="894">
        <f>D54+(E54*E58)</f>
        <v>5916416.3514999999</v>
      </c>
      <c r="E55" s="895"/>
      <c r="F55" s="896">
        <f>F54+(G54*G58)</f>
        <v>1336414.1696279997</v>
      </c>
      <c r="G55" s="895"/>
      <c r="H55" s="896">
        <f>H54+(I54*I58)</f>
        <v>4007675.7590050013</v>
      </c>
      <c r="I55" s="895"/>
      <c r="J55" s="896">
        <f>J54+(K54*K58)</f>
        <v>2583000.4243919998</v>
      </c>
      <c r="K55" s="895"/>
      <c r="L55" s="896">
        <f>L54+(M54*M58)</f>
        <v>3046067.1728949994</v>
      </c>
      <c r="M55" s="897"/>
      <c r="N55" s="885">
        <f>N54+(O54*O58)</f>
        <v>2394140.5949105001</v>
      </c>
      <c r="O55" s="886"/>
      <c r="P55" s="885">
        <f>P54+(Q54*Q58)</f>
        <v>4366642.1695310008</v>
      </c>
      <c r="Q55" s="886"/>
      <c r="R55" s="885">
        <f>R54+(S54*S58)</f>
        <v>3771666.5688739996</v>
      </c>
      <c r="S55" s="886"/>
      <c r="T55" s="885">
        <f>T54+(U54*U58)</f>
        <v>3413536.0697020004</v>
      </c>
      <c r="U55" s="886"/>
      <c r="V55" s="885">
        <f>V54+(W54*W58)</f>
        <v>4609781.0236614998</v>
      </c>
      <c r="W55" s="886"/>
      <c r="X55" s="885">
        <f>X54+(Y54*Y58)</f>
        <v>5062459.7809999995</v>
      </c>
      <c r="Y55" s="886"/>
      <c r="Z55" s="885">
        <f>Z54+(AA54*AA58)</f>
        <v>43174056.274999999</v>
      </c>
      <c r="AA55" s="886"/>
      <c r="AB55" s="25">
        <f>Z55/AA58</f>
        <v>684216.42274167982</v>
      </c>
      <c r="AC55" s="23">
        <f>AB55-AC8</f>
        <v>506994.01177080604</v>
      </c>
      <c r="AD55" s="8"/>
      <c r="AE55" s="8"/>
      <c r="AF55" s="8"/>
    </row>
    <row r="56" spans="1:32" s="8" customFormat="1" ht="27.75" customHeight="1">
      <c r="B56" s="57"/>
      <c r="C56" s="72">
        <f>(B54/C58)+C54</f>
        <v>33439.675193978837</v>
      </c>
      <c r="D56" s="57"/>
      <c r="E56" s="57">
        <f>(D54/E58)+E54</f>
        <v>94951.313617396881</v>
      </c>
      <c r="F56" s="57"/>
      <c r="G56" s="57">
        <f>(F54/G58)+G54</f>
        <v>21146.764165254412</v>
      </c>
      <c r="H56" s="57"/>
      <c r="I56" s="57">
        <f>(H54/I58)+I54</f>
        <v>68042.322064270251</v>
      </c>
      <c r="J56" s="57"/>
      <c r="K56" s="57">
        <f>(J54/K58)+K54</f>
        <v>43728.083894118128</v>
      </c>
      <c r="L56" s="57"/>
      <c r="M56" s="57">
        <f>(L54/M58)+M54</f>
        <v>51094.364360453896</v>
      </c>
      <c r="N56" s="57"/>
      <c r="O56" s="57">
        <f>(N54/O58)+O54</f>
        <v>39334.904472406808</v>
      </c>
      <c r="P56" s="57"/>
      <c r="Q56" s="57">
        <f>(P54/Q58)+Q54</f>
        <v>69207.036168766819</v>
      </c>
      <c r="R56" s="57"/>
      <c r="S56" s="57">
        <f>(R54/S58)+S54</f>
        <v>60336.866394881465</v>
      </c>
      <c r="T56" s="57"/>
      <c r="U56" s="57">
        <f>+(T54/U58)+U54</f>
        <v>53204.653307615808</v>
      </c>
      <c r="V56" s="57"/>
      <c r="W56" s="57">
        <f>+(V54/W58)+W54</f>
        <v>72860.659991852182</v>
      </c>
      <c r="X56" s="57"/>
      <c r="Y56" s="57">
        <f>+(X54/Y58)+Y54</f>
        <v>80229.156592709973</v>
      </c>
      <c r="Z56" s="884"/>
      <c r="AA56" s="884"/>
      <c r="AB56" s="334">
        <f>SUM(B56:Y56)</f>
        <v>687575.80022370536</v>
      </c>
      <c r="AC56" s="705"/>
    </row>
    <row r="57" spans="1:32" s="8" customFormat="1">
      <c r="B57" s="20"/>
      <c r="C57" s="22" t="s">
        <v>102</v>
      </c>
      <c r="E57" s="21" t="s">
        <v>102</v>
      </c>
      <c r="G57" s="21" t="s">
        <v>102</v>
      </c>
      <c r="I57" s="21" t="s">
        <v>102</v>
      </c>
      <c r="K57" s="21" t="s">
        <v>102</v>
      </c>
      <c r="L57" s="58"/>
      <c r="M57" s="19" t="s">
        <v>102</v>
      </c>
      <c r="N57" s="18"/>
      <c r="O57" s="19" t="s">
        <v>102</v>
      </c>
      <c r="P57" s="18"/>
      <c r="Q57" s="19" t="s">
        <v>102</v>
      </c>
      <c r="R57" s="18"/>
      <c r="S57" s="19" t="s">
        <v>102</v>
      </c>
      <c r="T57" s="18"/>
      <c r="U57" s="19" t="s">
        <v>102</v>
      </c>
      <c r="V57" s="18"/>
      <c r="W57" s="19" t="s">
        <v>102</v>
      </c>
      <c r="X57" s="18"/>
      <c r="Y57" s="19" t="s">
        <v>102</v>
      </c>
      <c r="AA57" s="22" t="s">
        <v>102</v>
      </c>
      <c r="AC57" s="705"/>
    </row>
    <row r="58" spans="1:32" s="8" customFormat="1">
      <c r="B58" s="20"/>
      <c r="C58" s="19">
        <f>'[1]Tasa Cambio'!E6</f>
        <v>61.795400000000001</v>
      </c>
      <c r="E58" s="19">
        <f>'[1]Tasa Cambio'!E7</f>
        <v>62.31</v>
      </c>
      <c r="G58" s="19">
        <f>'[1]Tasa Cambio'!E8</f>
        <v>63.197100000000006</v>
      </c>
      <c r="I58" s="19">
        <f>'[1]Tasa Cambio'!E9</f>
        <v>58.899749999999997</v>
      </c>
      <c r="K58" s="19">
        <f>'[1]Tasa Cambio'!E10</f>
        <v>59.069599999999994</v>
      </c>
      <c r="L58" s="58"/>
      <c r="M58" s="19">
        <f>'[1]Tasa Cambio'!E11</f>
        <v>59.616500000000002</v>
      </c>
      <c r="N58" s="18"/>
      <c r="O58" s="19">
        <f>'[1]Tasa Cambio'!E12</f>
        <v>60.865549999999999</v>
      </c>
      <c r="P58" s="18"/>
      <c r="Q58" s="19">
        <f>'[1]Tasa Cambio'!E13</f>
        <v>63.095349999999996</v>
      </c>
      <c r="R58" s="18"/>
      <c r="S58" s="19">
        <f>'[1]Tasa Cambio'!E14</f>
        <v>62.510149999999996</v>
      </c>
      <c r="T58" s="18"/>
      <c r="U58" s="522">
        <f>'[1]Tasa Cambio'!E15</f>
        <v>64.158600000000007</v>
      </c>
      <c r="V58" s="18"/>
      <c r="W58" s="522">
        <f>'[1]Tasa Cambio'!E16</f>
        <v>63.268450000000001</v>
      </c>
      <c r="X58" s="18"/>
      <c r="Y58" s="522">
        <v>63.1</v>
      </c>
      <c r="AA58" s="22">
        <v>63.1</v>
      </c>
      <c r="AC58" s="705"/>
    </row>
    <row r="59" spans="1:32" s="8" customFormat="1">
      <c r="A59" s="17"/>
      <c r="B59" s="16"/>
      <c r="C59" s="59"/>
      <c r="D59" s="15"/>
      <c r="E59" s="15"/>
      <c r="F59" s="15"/>
      <c r="G59" s="15"/>
      <c r="H59" s="15"/>
      <c r="I59" s="15"/>
      <c r="J59" s="15"/>
      <c r="K59" s="15"/>
      <c r="L59" s="60"/>
      <c r="M59" s="12"/>
      <c r="N59" s="13"/>
      <c r="O59" s="12"/>
      <c r="P59" s="13"/>
      <c r="Q59" s="12"/>
      <c r="R59" s="13"/>
      <c r="S59" s="12"/>
      <c r="T59" s="13"/>
      <c r="U59" s="12"/>
      <c r="V59" s="13"/>
      <c r="W59" s="14"/>
      <c r="X59" s="13"/>
      <c r="Y59" s="12"/>
      <c r="AA59" s="716"/>
      <c r="AC59" s="705"/>
    </row>
    <row r="60" spans="1:32" s="8" customFormat="1">
      <c r="A60" s="4"/>
      <c r="B60" s="4"/>
      <c r="C60" s="4"/>
      <c r="D60" s="4"/>
      <c r="E60" s="4"/>
      <c r="F60" s="4"/>
      <c r="G60" s="4"/>
      <c r="H60" s="61"/>
      <c r="I60" s="2"/>
      <c r="J60" s="3"/>
      <c r="K60" s="2"/>
      <c r="L60" s="3"/>
      <c r="M60" s="2"/>
      <c r="N60" s="3"/>
      <c r="O60" s="2"/>
      <c r="P60" s="3"/>
      <c r="Q60" s="2"/>
      <c r="R60" s="3"/>
      <c r="S60" s="2"/>
      <c r="T60" s="3"/>
      <c r="U60" s="2"/>
      <c r="V60"/>
      <c r="W60" s="62"/>
      <c r="X60"/>
      <c r="Y60" s="12"/>
      <c r="AA60" s="716"/>
      <c r="AC60" s="10"/>
    </row>
    <row r="61" spans="1:32" s="8" customFormat="1">
      <c r="A61" s="4"/>
      <c r="B61" s="4"/>
      <c r="C61" s="4"/>
      <c r="D61" s="4"/>
      <c r="E61" s="4"/>
      <c r="F61" s="4"/>
      <c r="G61" s="4"/>
      <c r="H61" s="61"/>
      <c r="I61" s="2"/>
      <c r="J61" s="3"/>
      <c r="K61" s="2"/>
      <c r="L61" s="3"/>
      <c r="M61" s="2"/>
      <c r="N61" s="3"/>
      <c r="O61" s="2"/>
      <c r="P61" s="3"/>
      <c r="Q61" s="2"/>
      <c r="R61" s="3"/>
      <c r="S61" s="2"/>
      <c r="T61" s="3"/>
      <c r="U61" s="2"/>
      <c r="V61"/>
      <c r="W61" s="11"/>
      <c r="X61"/>
      <c r="AA61" s="716"/>
      <c r="AC61" s="10"/>
    </row>
    <row r="62" spans="1:32" s="8" customFormat="1">
      <c r="A62" s="4"/>
      <c r="B62" s="4"/>
      <c r="C62" s="4"/>
      <c r="D62" s="4"/>
      <c r="E62" s="4"/>
      <c r="F62" s="4"/>
      <c r="G62" s="4"/>
      <c r="H62" s="61"/>
      <c r="I62" s="2"/>
      <c r="J62" s="3"/>
      <c r="K62" s="2"/>
      <c r="L62" s="3"/>
      <c r="M62" s="2"/>
      <c r="N62" s="3"/>
      <c r="O62" s="2"/>
      <c r="P62" s="3"/>
      <c r="Q62" s="2"/>
      <c r="R62" s="3"/>
      <c r="S62" s="2"/>
      <c r="T62" s="3"/>
      <c r="U62" s="2"/>
      <c r="V62"/>
      <c r="W62"/>
      <c r="X62"/>
      <c r="AA62" s="716"/>
      <c r="AC62" s="10"/>
    </row>
    <row r="63" spans="1:32" s="8" customFormat="1" ht="21">
      <c r="A63" s="4"/>
      <c r="B63" s="4"/>
      <c r="C63" s="4"/>
      <c r="D63" s="4"/>
      <c r="E63" s="4"/>
      <c r="F63" s="4"/>
      <c r="G63" s="4"/>
      <c r="H63" s="61"/>
      <c r="I63" s="2"/>
      <c r="J63" s="3"/>
      <c r="K63" s="2"/>
      <c r="L63" s="3"/>
      <c r="M63" s="2"/>
      <c r="N63" s="3"/>
      <c r="O63" s="2"/>
      <c r="P63" s="3"/>
      <c r="Q63" s="2"/>
      <c r="R63" s="3"/>
      <c r="S63" s="2"/>
      <c r="T63" s="3"/>
      <c r="U63" s="2"/>
      <c r="V63"/>
      <c r="W63"/>
      <c r="X63"/>
      <c r="AA63" s="716"/>
      <c r="AC63" s="9"/>
      <c r="AD63" s="7"/>
    </row>
    <row r="64" spans="1:32" s="8" customFormat="1" ht="21">
      <c r="A64" s="4"/>
      <c r="B64" s="4"/>
      <c r="C64" s="4"/>
      <c r="D64" s="4"/>
      <c r="E64" s="4"/>
      <c r="F64" s="4"/>
      <c r="G64" s="4"/>
      <c r="H64" s="61"/>
      <c r="I64" s="2"/>
      <c r="J64" s="3"/>
      <c r="K64" s="2"/>
      <c r="L64" s="3"/>
      <c r="M64" s="2"/>
      <c r="N64" s="3"/>
      <c r="O64" s="2"/>
      <c r="P64" s="3"/>
      <c r="Q64" s="2"/>
      <c r="R64" s="3"/>
      <c r="S64" s="2"/>
      <c r="T64" s="3"/>
      <c r="U64" s="2"/>
      <c r="V64"/>
      <c r="W64"/>
      <c r="X64"/>
      <c r="AA64" s="716"/>
      <c r="AC64" s="1"/>
      <c r="AD64"/>
      <c r="AE64" s="7"/>
      <c r="AF64" s="7"/>
    </row>
    <row r="65" spans="1:32" s="8" customFormat="1">
      <c r="A65" s="4"/>
      <c r="B65" s="4"/>
      <c r="C65" s="4"/>
      <c r="D65" s="4"/>
      <c r="E65" s="4"/>
      <c r="F65" s="4"/>
      <c r="G65" s="4"/>
      <c r="H65" s="61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/>
      <c r="W65"/>
      <c r="X65"/>
      <c r="AA65" s="716"/>
      <c r="AC65" s="1"/>
      <c r="AD65"/>
      <c r="AE65"/>
      <c r="AF65"/>
    </row>
    <row r="66" spans="1:32" s="8" customFormat="1">
      <c r="A66" s="4"/>
      <c r="B66" s="4"/>
      <c r="C66" s="4"/>
      <c r="D66" s="4"/>
      <c r="E66" s="4"/>
      <c r="F66" s="4"/>
      <c r="G66" s="4"/>
      <c r="H66" s="61"/>
      <c r="I66" s="2"/>
      <c r="J66" s="3"/>
      <c r="K66" s="2"/>
      <c r="L66" s="3"/>
      <c r="M66" s="2"/>
      <c r="N66" s="3"/>
      <c r="O66" s="2"/>
      <c r="P66" s="3"/>
      <c r="Q66" s="2"/>
      <c r="R66" s="3"/>
      <c r="S66" s="2"/>
      <c r="U66" s="2"/>
      <c r="V66"/>
      <c r="W66"/>
      <c r="X66"/>
      <c r="AA66" s="716"/>
      <c r="AC66" s="1"/>
      <c r="AD66"/>
      <c r="AE66"/>
      <c r="AF66"/>
    </row>
    <row r="67" spans="1:32" s="8" customFormat="1">
      <c r="A67" s="4"/>
      <c r="B67" s="4"/>
      <c r="C67" s="4"/>
      <c r="D67" s="4"/>
      <c r="E67" s="4"/>
      <c r="F67" s="4"/>
      <c r="G67" s="4"/>
      <c r="H67" s="61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/>
      <c r="W67"/>
      <c r="X67"/>
      <c r="AA67" s="716"/>
      <c r="AC67" s="1"/>
      <c r="AD67"/>
      <c r="AE67"/>
      <c r="AF67"/>
    </row>
    <row r="68" spans="1:32" s="8" customFormat="1">
      <c r="A68" s="4"/>
      <c r="B68" s="4"/>
      <c r="C68" s="4"/>
      <c r="D68" s="4"/>
      <c r="E68" s="4"/>
      <c r="F68" s="4"/>
      <c r="G68" s="4"/>
      <c r="H68" s="61"/>
      <c r="I68" s="2"/>
      <c r="J68" s="3"/>
      <c r="K68" s="2"/>
      <c r="L68" s="3"/>
      <c r="M68" s="2"/>
      <c r="N68" s="3"/>
      <c r="O68" s="2"/>
      <c r="P68" s="3"/>
      <c r="Q68" s="2"/>
      <c r="R68" s="3"/>
      <c r="S68" s="2"/>
      <c r="T68" s="3"/>
      <c r="U68" s="2"/>
      <c r="V68"/>
      <c r="W68"/>
      <c r="X68"/>
      <c r="AA68" s="716"/>
      <c r="AC68" s="1"/>
      <c r="AD68"/>
      <c r="AE68"/>
      <c r="AF68"/>
    </row>
    <row r="69" spans="1:32" s="8" customFormat="1">
      <c r="A69" s="4"/>
      <c r="B69" s="4"/>
      <c r="C69" s="4"/>
      <c r="D69" s="4"/>
      <c r="E69" s="4"/>
      <c r="F69" s="4"/>
      <c r="G69" s="4"/>
      <c r="H69" s="61"/>
      <c r="I69" s="2"/>
      <c r="J69" s="3"/>
      <c r="K69" s="2"/>
      <c r="L69" s="3"/>
      <c r="M69" s="2"/>
      <c r="N69" s="3"/>
      <c r="O69" s="2"/>
      <c r="P69" s="3"/>
      <c r="Q69" s="2"/>
      <c r="R69" s="3"/>
      <c r="S69" s="2"/>
      <c r="T69" s="3"/>
      <c r="U69" s="2"/>
      <c r="V69"/>
      <c r="W69"/>
      <c r="X69"/>
      <c r="AA69" s="716"/>
      <c r="AC69" s="1"/>
      <c r="AD69"/>
      <c r="AE69"/>
      <c r="AF69"/>
    </row>
    <row r="70" spans="1:32" s="8" customFormat="1">
      <c r="A70" s="4"/>
      <c r="B70" s="4"/>
      <c r="C70" s="4"/>
      <c r="D70" s="4"/>
      <c r="E70" s="4"/>
      <c r="F70" s="4"/>
      <c r="G70" s="4"/>
      <c r="H70" s="61"/>
      <c r="I70" s="2"/>
      <c r="J70" s="3"/>
      <c r="K70" s="2"/>
      <c r="L70" s="3"/>
      <c r="M70" s="2"/>
      <c r="N70" s="3"/>
      <c r="O70" s="2"/>
      <c r="P70" s="3"/>
      <c r="Q70" s="2"/>
      <c r="R70" s="3"/>
      <c r="S70" s="2"/>
      <c r="T70" s="3"/>
      <c r="U70" s="2"/>
      <c r="V70"/>
      <c r="W70"/>
      <c r="X70"/>
      <c r="AA70" s="716"/>
      <c r="AC70" s="1"/>
      <c r="AD70"/>
      <c r="AE70"/>
      <c r="AF70"/>
    </row>
    <row r="71" spans="1:32" s="8" customFormat="1">
      <c r="A71" s="4"/>
      <c r="B71" s="4"/>
      <c r="C71" s="4"/>
      <c r="D71" s="4"/>
      <c r="E71" s="4"/>
      <c r="F71" s="4"/>
      <c r="G71" s="4"/>
      <c r="H71" s="61"/>
      <c r="I71" s="2"/>
      <c r="J71" s="3"/>
      <c r="K71" s="2"/>
      <c r="L71" s="3"/>
      <c r="M71" s="2"/>
      <c r="N71" s="3"/>
      <c r="O71" s="2"/>
      <c r="P71" s="3"/>
      <c r="Q71" s="2"/>
      <c r="R71" s="3"/>
      <c r="S71" s="2"/>
      <c r="T71" s="3"/>
      <c r="U71" s="2"/>
      <c r="V71"/>
      <c r="W71"/>
      <c r="X71"/>
      <c r="AA71" s="716"/>
      <c r="AC71" s="1"/>
      <c r="AD71"/>
      <c r="AE71"/>
      <c r="AF71"/>
    </row>
    <row r="72" spans="1:32" s="8" customFormat="1">
      <c r="A72" s="4"/>
      <c r="B72" s="4"/>
      <c r="C72" s="4"/>
      <c r="D72" s="4"/>
      <c r="E72" s="4"/>
      <c r="F72" s="4"/>
      <c r="G72" s="4"/>
      <c r="H72" s="61"/>
      <c r="I72" s="2"/>
      <c r="J72" s="3"/>
      <c r="K72" s="2"/>
      <c r="L72" s="3"/>
      <c r="M72" s="2"/>
      <c r="N72" s="3"/>
      <c r="O72" s="2"/>
      <c r="P72" s="3"/>
      <c r="Q72" s="2"/>
      <c r="R72" s="3"/>
      <c r="S72" s="2"/>
      <c r="T72" s="3"/>
      <c r="U72" s="2"/>
      <c r="V72"/>
      <c r="W72"/>
      <c r="X72"/>
      <c r="AA72" s="716"/>
      <c r="AC72" s="1"/>
      <c r="AD72"/>
      <c r="AE72"/>
      <c r="AF72"/>
    </row>
    <row r="73" spans="1:32" s="7" customFormat="1" ht="21">
      <c r="A73" s="6"/>
      <c r="B73" s="5"/>
      <c r="C73" s="63"/>
      <c r="D73" s="4"/>
      <c r="AA73" s="717"/>
      <c r="AC73" s="1"/>
      <c r="AD73"/>
      <c r="AE73"/>
      <c r="AF73"/>
    </row>
    <row r="102" spans="17:17"/>
    <row r="150" spans="8:8">
      <c r="H150" s="4">
        <f>'[1]2025'!R46</f>
        <v>81728.37</v>
      </c>
    </row>
  </sheetData>
  <mergeCells count="29">
    <mergeCell ref="L1:M1"/>
    <mergeCell ref="B1:C1"/>
    <mergeCell ref="D1:E1"/>
    <mergeCell ref="F1:G1"/>
    <mergeCell ref="H1:I1"/>
    <mergeCell ref="J1:K1"/>
    <mergeCell ref="Z1:AA1"/>
    <mergeCell ref="AC2:AD2"/>
    <mergeCell ref="AB11:AB12"/>
    <mergeCell ref="B55:C55"/>
    <mergeCell ref="D55:E55"/>
    <mergeCell ref="F55:G55"/>
    <mergeCell ref="H55:I55"/>
    <mergeCell ref="J55:K55"/>
    <mergeCell ref="L55:M55"/>
    <mergeCell ref="N55:O55"/>
    <mergeCell ref="N1:O1"/>
    <mergeCell ref="P1:Q1"/>
    <mergeCell ref="R1:S1"/>
    <mergeCell ref="T1:U1"/>
    <mergeCell ref="V1:W1"/>
    <mergeCell ref="X1:Y1"/>
    <mergeCell ref="Z56:AA56"/>
    <mergeCell ref="P55:Q55"/>
    <mergeCell ref="R55:S55"/>
    <mergeCell ref="T55:U55"/>
    <mergeCell ref="V55:W55"/>
    <mergeCell ref="X55:Y55"/>
    <mergeCell ref="Z55:AA55"/>
  </mergeCells>
  <pageMargins left="0.23622047244094491" right="0.23622047244094491" top="0.74803149606299213" bottom="0.74803149606299213" header="0.31496062992125984" footer="0.31496062992125984"/>
  <pageSetup paperSize="5" scale="6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249977111117893"/>
  </sheetPr>
  <dimension ref="A1:BT147"/>
  <sheetViews>
    <sheetView showGridLines="0" tabSelected="1" topLeftCell="A41" zoomScaleNormal="100" zoomScaleSheetLayoutView="70" workbookViewId="0">
      <pane xSplit="1" topLeftCell="B1" activePane="topRight" state="frozen"/>
      <selection pane="topRight" sqref="A1:C1048576"/>
    </sheetView>
  </sheetViews>
  <sheetFormatPr baseColWidth="10" defaultColWidth="10.42578125" defaultRowHeight="15"/>
  <cols>
    <col min="1" max="1" width="56.42578125" style="6" bestFit="1" customWidth="1"/>
    <col min="2" max="2" width="25.42578125" style="5" customWidth="1"/>
    <col min="3" max="3" width="21.7109375" style="63" customWidth="1"/>
    <col min="4" max="4" width="23.42578125" style="4" customWidth="1"/>
    <col min="5" max="5" width="20.42578125" style="4" customWidth="1"/>
    <col min="6" max="6" width="23.42578125" style="4" customWidth="1"/>
    <col min="7" max="7" width="19" style="4" bestFit="1" customWidth="1"/>
    <col min="8" max="8" width="23.42578125" style="4" hidden="1" customWidth="1"/>
    <col min="9" max="9" width="19.85546875" style="4" hidden="1" customWidth="1"/>
    <col min="10" max="10" width="27.42578125" style="4" hidden="1" customWidth="1"/>
    <col min="11" max="11" width="20.140625" style="4" hidden="1" customWidth="1"/>
    <col min="12" max="12" width="25.7109375" style="61" hidden="1" customWidth="1"/>
    <col min="13" max="13" width="20.42578125" style="2" hidden="1" customWidth="1"/>
    <col min="14" max="14" width="25.7109375" style="3" hidden="1" customWidth="1"/>
    <col min="15" max="15" width="21.28515625" style="2" hidden="1" customWidth="1"/>
    <col min="16" max="16" width="25" style="3" hidden="1" customWidth="1"/>
    <col min="17" max="17" width="18.7109375" style="2" hidden="1" customWidth="1"/>
    <col min="18" max="18" width="29.5703125" style="3" hidden="1" customWidth="1"/>
    <col min="19" max="19" width="19.42578125" style="2" hidden="1" customWidth="1"/>
    <col min="20" max="20" width="28.42578125" style="3" hidden="1" customWidth="1"/>
    <col min="21" max="21" width="18.5703125" style="2" hidden="1" customWidth="1"/>
    <col min="22" max="22" width="25.7109375" style="3" hidden="1" customWidth="1"/>
    <col min="23" max="23" width="21" style="2" hidden="1" customWidth="1"/>
    <col min="24" max="24" width="26.5703125" style="3" hidden="1" customWidth="1"/>
    <col min="25" max="25" width="21.28515625" style="2" hidden="1" customWidth="1"/>
    <col min="26" max="26" width="27.42578125" customWidth="1"/>
    <col min="27" max="27" width="21.42578125" style="718" customWidth="1"/>
    <col min="28" max="28" width="22.28515625" customWidth="1"/>
    <col min="29" max="29" width="20.42578125" style="1" bestFit="1" customWidth="1"/>
    <col min="30" max="30" width="16.42578125" bestFit="1" customWidth="1"/>
    <col min="31" max="32" width="18.42578125" bestFit="1" customWidth="1"/>
  </cols>
  <sheetData>
    <row r="1" spans="1:72" ht="26.25" customHeight="1">
      <c r="A1" s="377"/>
      <c r="B1" s="908">
        <v>46023</v>
      </c>
      <c r="C1" s="899"/>
      <c r="D1" s="909">
        <v>46054</v>
      </c>
      <c r="E1" s="905"/>
      <c r="F1" s="907">
        <v>46082</v>
      </c>
      <c r="G1" s="910"/>
      <c r="H1" s="902">
        <v>46113</v>
      </c>
      <c r="I1" s="903"/>
      <c r="J1" s="904">
        <v>46143</v>
      </c>
      <c r="K1" s="905"/>
      <c r="L1" s="906">
        <v>46174</v>
      </c>
      <c r="M1" s="907"/>
      <c r="N1" s="898">
        <v>46204</v>
      </c>
      <c r="O1" s="899"/>
      <c r="P1" s="900">
        <v>46235</v>
      </c>
      <c r="Q1" s="901"/>
      <c r="R1" s="902">
        <v>46266</v>
      </c>
      <c r="S1" s="903"/>
      <c r="T1" s="902">
        <v>46296</v>
      </c>
      <c r="U1" s="903"/>
      <c r="V1" s="904">
        <v>46327</v>
      </c>
      <c r="W1" s="905"/>
      <c r="X1" s="902">
        <v>46357</v>
      </c>
      <c r="Y1" s="903"/>
      <c r="Z1" s="887" t="s">
        <v>41</v>
      </c>
      <c r="AA1" s="888"/>
    </row>
    <row r="2" spans="1:72" s="8" customFormat="1" ht="20.25" customHeight="1">
      <c r="A2" s="462" t="s">
        <v>42</v>
      </c>
      <c r="B2" s="458" t="s">
        <v>43</v>
      </c>
      <c r="C2" s="362" t="s">
        <v>44</v>
      </c>
      <c r="D2" s="117" t="s">
        <v>43</v>
      </c>
      <c r="E2" s="118" t="s">
        <v>44</v>
      </c>
      <c r="F2" s="117" t="s">
        <v>43</v>
      </c>
      <c r="G2" s="361" t="s">
        <v>44</v>
      </c>
      <c r="H2" s="358" t="s">
        <v>43</v>
      </c>
      <c r="I2" s="359" t="s">
        <v>44</v>
      </c>
      <c r="J2" s="358" t="s">
        <v>43</v>
      </c>
      <c r="K2" s="359" t="s">
        <v>44</v>
      </c>
      <c r="L2" s="360" t="s">
        <v>43</v>
      </c>
      <c r="M2" s="357" t="s">
        <v>44</v>
      </c>
      <c r="N2" s="356" t="s">
        <v>43</v>
      </c>
      <c r="O2" s="357" t="s">
        <v>44</v>
      </c>
      <c r="P2" s="356" t="s">
        <v>43</v>
      </c>
      <c r="Q2" s="357" t="s">
        <v>44</v>
      </c>
      <c r="R2" s="356" t="s">
        <v>43</v>
      </c>
      <c r="S2" s="357" t="s">
        <v>44</v>
      </c>
      <c r="T2" s="120" t="s">
        <v>43</v>
      </c>
      <c r="U2" s="119" t="s">
        <v>44</v>
      </c>
      <c r="V2" s="120" t="s">
        <v>43</v>
      </c>
      <c r="W2" s="119" t="s">
        <v>44</v>
      </c>
      <c r="X2" s="120" t="s">
        <v>43</v>
      </c>
      <c r="Y2" s="256" t="s">
        <v>44</v>
      </c>
      <c r="Z2" s="754" t="s">
        <v>43</v>
      </c>
      <c r="AA2" s="755" t="s">
        <v>44</v>
      </c>
      <c r="AC2" s="889" t="s">
        <v>45</v>
      </c>
      <c r="AD2" s="890"/>
    </row>
    <row r="3" spans="1:72" ht="27.6" customHeight="1">
      <c r="A3" s="459" t="s">
        <v>46</v>
      </c>
      <c r="B3" s="115"/>
      <c r="C3" s="92"/>
      <c r="D3" s="115"/>
      <c r="E3" s="102"/>
      <c r="F3" s="304"/>
      <c r="G3" s="226"/>
      <c r="H3" s="116"/>
      <c r="I3" s="102"/>
      <c r="J3" s="116"/>
      <c r="K3" s="53"/>
      <c r="L3" s="254"/>
      <c r="M3" s="353"/>
      <c r="N3" s="354"/>
      <c r="O3" s="297"/>
      <c r="P3" s="290"/>
      <c r="Q3" s="297"/>
      <c r="R3" s="116"/>
      <c r="S3" s="89"/>
      <c r="T3" s="116"/>
      <c r="U3" s="89"/>
      <c r="V3" s="116"/>
      <c r="W3" s="89"/>
      <c r="X3" s="115"/>
      <c r="Y3" s="171"/>
      <c r="Z3" s="290">
        <f>+B3+D3+F3+H3+J3+L3+N3+P3+R3+T3+V3+X3</f>
        <v>0</v>
      </c>
      <c r="AA3" s="297">
        <f>+C3+E3+G3+I3+K3+M3+O3+Q3+S3</f>
        <v>0</v>
      </c>
      <c r="AB3" s="33"/>
      <c r="AC3" s="483" t="s">
        <v>47</v>
      </c>
      <c r="AD3" s="484">
        <f>1000</f>
        <v>1000</v>
      </c>
    </row>
    <row r="4" spans="1:72" ht="27.6" customHeight="1">
      <c r="A4" s="460" t="s">
        <v>48</v>
      </c>
      <c r="B4" s="94"/>
      <c r="C4" s="93"/>
      <c r="D4" s="160"/>
      <c r="E4" s="103"/>
      <c r="F4" s="305"/>
      <c r="G4" s="226"/>
      <c r="H4" s="100"/>
      <c r="I4" s="103"/>
      <c r="J4" s="100"/>
      <c r="K4" s="73"/>
      <c r="L4" s="255"/>
      <c r="M4" s="73"/>
      <c r="N4" s="291"/>
      <c r="O4" s="275"/>
      <c r="P4" s="291"/>
      <c r="Q4" s="275"/>
      <c r="R4" s="94"/>
      <c r="S4" s="87"/>
      <c r="T4" s="94"/>
      <c r="U4" s="87"/>
      <c r="V4" s="94"/>
      <c r="W4" s="87"/>
      <c r="X4" s="94"/>
      <c r="Y4" s="172"/>
      <c r="Z4" s="291"/>
      <c r="AA4" s="275">
        <f t="shared" ref="AA4:AA37" si="0">+C4+E4+G4+I4+K4+M4+O4+Q4+S4</f>
        <v>0</v>
      </c>
      <c r="AB4" s="704"/>
      <c r="AC4" s="485" t="s">
        <v>49</v>
      </c>
      <c r="AD4" s="486">
        <f>1729</f>
        <v>1729</v>
      </c>
    </row>
    <row r="5" spans="1:72" ht="27.6" customHeight="1">
      <c r="A5" s="460" t="s">
        <v>50</v>
      </c>
      <c r="B5" s="56"/>
      <c r="C5" s="93"/>
      <c r="D5" s="56"/>
      <c r="E5" s="108"/>
      <c r="F5" s="306"/>
      <c r="G5" s="227"/>
      <c r="H5" s="99"/>
      <c r="I5" s="108"/>
      <c r="J5" s="56"/>
      <c r="K5" s="134"/>
      <c r="L5" s="713"/>
      <c r="M5" s="134"/>
      <c r="N5" s="243"/>
      <c r="O5" s="240"/>
      <c r="P5" s="223"/>
      <c r="Q5" s="237"/>
      <c r="R5" s="223"/>
      <c r="S5" s="111"/>
      <c r="T5" s="161"/>
      <c r="U5" s="111"/>
      <c r="V5" s="56"/>
      <c r="W5" s="111"/>
      <c r="X5" s="56"/>
      <c r="Y5" s="50"/>
      <c r="Z5" s="223"/>
      <c r="AA5" s="237">
        <f t="shared" si="0"/>
        <v>0</v>
      </c>
      <c r="AB5" s="1"/>
      <c r="AC5" s="487" t="s">
        <v>41</v>
      </c>
      <c r="AD5" s="488">
        <f>SUM(AD3:AD4)</f>
        <v>2729</v>
      </c>
      <c r="AF5" s="1"/>
      <c r="AH5" s="1"/>
      <c r="AJ5" s="1"/>
      <c r="AL5" s="1"/>
      <c r="AN5" s="1"/>
      <c r="AP5" s="1"/>
      <c r="AR5" s="1"/>
      <c r="AT5" s="1"/>
      <c r="AV5" s="1"/>
      <c r="AX5" s="1"/>
      <c r="AZ5" s="1"/>
      <c r="BB5" s="1"/>
      <c r="BD5" s="1"/>
      <c r="BF5" s="1"/>
      <c r="BH5" s="1"/>
    </row>
    <row r="6" spans="1:72" s="8" customFormat="1" ht="27.6" customHeight="1">
      <c r="A6" s="461" t="s">
        <v>51</v>
      </c>
      <c r="B6" s="49"/>
      <c r="C6" s="93"/>
      <c r="D6" s="128"/>
      <c r="E6" s="307"/>
      <c r="F6" s="306"/>
      <c r="G6" s="228"/>
      <c r="H6" s="128"/>
      <c r="I6" s="580"/>
      <c r="J6" s="56"/>
      <c r="K6" s="125"/>
      <c r="L6" s="223"/>
      <c r="M6" s="135"/>
      <c r="N6" s="586"/>
      <c r="O6" s="683"/>
      <c r="P6" s="223"/>
      <c r="Q6" s="326"/>
      <c r="R6" s="56"/>
      <c r="S6" s="122"/>
      <c r="T6" s="482"/>
      <c r="U6" s="122"/>
      <c r="V6" s="56"/>
      <c r="W6" s="122"/>
      <c r="X6" s="56"/>
      <c r="Y6" s="183"/>
      <c r="Z6" s="223"/>
      <c r="AA6" s="756">
        <f>+C6+E6+G6+I6+K6+M6+O6+Q6+S6+U6+W6+Y6</f>
        <v>0</v>
      </c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</row>
    <row r="7" spans="1:72" s="591" customFormat="1" ht="27.6" customHeight="1">
      <c r="A7" s="574" t="s">
        <v>52</v>
      </c>
      <c r="B7" s="49"/>
      <c r="C7" s="575"/>
      <c r="D7" s="576"/>
      <c r="E7" s="577"/>
      <c r="F7" s="578"/>
      <c r="G7" s="579"/>
      <c r="H7" s="236"/>
      <c r="I7" s="580"/>
      <c r="J7" s="581"/>
      <c r="K7" s="582"/>
      <c r="L7" s="583"/>
      <c r="M7" s="584"/>
      <c r="N7" s="583"/>
      <c r="O7" s="585"/>
      <c r="P7" s="586"/>
      <c r="Q7" s="587"/>
      <c r="R7" s="581"/>
      <c r="S7" s="588"/>
      <c r="T7" s="589"/>
      <c r="U7" s="588"/>
      <c r="V7" s="581"/>
      <c r="W7" s="588"/>
      <c r="X7" s="581"/>
      <c r="Y7" s="590"/>
      <c r="Z7" s="223"/>
      <c r="AA7" s="757">
        <f t="shared" si="0"/>
        <v>0</v>
      </c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</row>
    <row r="8" spans="1:72" s="747" customFormat="1" ht="27.6" customHeight="1">
      <c r="A8" s="724" t="s">
        <v>53</v>
      </c>
      <c r="B8" s="725"/>
      <c r="C8" s="726"/>
      <c r="D8" s="870"/>
      <c r="E8" s="728"/>
      <c r="F8" s="729"/>
      <c r="G8" s="730"/>
      <c r="H8" s="731"/>
      <c r="I8" s="732"/>
      <c r="J8" s="733"/>
      <c r="K8" s="734"/>
      <c r="L8" s="735"/>
      <c r="M8" s="736"/>
      <c r="N8" s="737"/>
      <c r="O8" s="738"/>
      <c r="P8" s="739"/>
      <c r="Q8" s="740"/>
      <c r="R8" s="741"/>
      <c r="S8" s="760"/>
      <c r="T8" s="742"/>
      <c r="U8" s="743"/>
      <c r="V8" s="744"/>
      <c r="W8" s="743"/>
      <c r="X8" s="744"/>
      <c r="Y8" s="745"/>
      <c r="Z8" s="758"/>
      <c r="AA8" s="759">
        <f>+C8+E8+G8+I8+K8+M8+O8+Q8+S8+U8+W8+Y8</f>
        <v>0</v>
      </c>
      <c r="AB8" s="746"/>
      <c r="AC8" s="746"/>
      <c r="AD8" s="746"/>
      <c r="AE8" s="746"/>
      <c r="AF8" s="746"/>
      <c r="AG8" s="746"/>
      <c r="AH8" s="746"/>
      <c r="AI8" s="746"/>
      <c r="AJ8" s="746"/>
      <c r="AK8" s="746"/>
      <c r="AL8" s="746"/>
      <c r="AM8" s="746"/>
      <c r="AN8" s="746"/>
      <c r="AO8" s="746"/>
      <c r="AP8" s="746"/>
      <c r="AQ8" s="746"/>
      <c r="AR8" s="746"/>
      <c r="AS8" s="746"/>
      <c r="AT8" s="746"/>
      <c r="AU8" s="746"/>
      <c r="AV8" s="746"/>
      <c r="AW8" s="746"/>
      <c r="AX8" s="746"/>
      <c r="AY8" s="746"/>
      <c r="AZ8" s="746"/>
      <c r="BA8" s="746"/>
      <c r="BB8" s="746"/>
      <c r="BC8" s="746"/>
      <c r="BD8" s="746"/>
      <c r="BE8" s="746"/>
      <c r="BF8" s="746"/>
      <c r="BG8" s="746"/>
      <c r="BH8" s="746"/>
      <c r="BI8" s="746"/>
      <c r="BJ8" s="746"/>
      <c r="BK8" s="746"/>
      <c r="BL8" s="746"/>
      <c r="BM8" s="746"/>
      <c r="BN8" s="746"/>
      <c r="BO8" s="746"/>
      <c r="BP8" s="746"/>
      <c r="BQ8" s="746"/>
      <c r="BR8" s="746"/>
      <c r="BS8" s="746"/>
      <c r="BT8" s="746"/>
    </row>
    <row r="9" spans="1:72" ht="26.25" customHeight="1">
      <c r="A9" s="456" t="s">
        <v>54</v>
      </c>
      <c r="B9" s="203">
        <f>SUM(B3:B8)</f>
        <v>0</v>
      </c>
      <c r="C9" s="603">
        <f>SUM(C3:C8)</f>
        <v>0</v>
      </c>
      <c r="D9" s="203">
        <f>SUM(D3:D8)</f>
        <v>0</v>
      </c>
      <c r="E9" s="606">
        <f>SUM(E3:E8)</f>
        <v>0</v>
      </c>
      <c r="F9" s="186">
        <f>SUM(F3:F8)</f>
        <v>0</v>
      </c>
      <c r="G9" s="204"/>
      <c r="H9" s="186">
        <f t="shared" ref="H9:R9" si="1">SUM(H3:H8)</f>
        <v>0</v>
      </c>
      <c r="I9" s="187">
        <f t="shared" si="1"/>
        <v>0</v>
      </c>
      <c r="J9" s="186">
        <f t="shared" si="1"/>
        <v>0</v>
      </c>
      <c r="K9" s="187">
        <f t="shared" si="1"/>
        <v>0</v>
      </c>
      <c r="L9" s="186">
        <f t="shared" si="1"/>
        <v>0</v>
      </c>
      <c r="M9" s="324">
        <f t="shared" si="1"/>
        <v>0</v>
      </c>
      <c r="N9" s="241">
        <f t="shared" si="1"/>
        <v>0</v>
      </c>
      <c r="O9" s="355">
        <f t="shared" si="1"/>
        <v>0</v>
      </c>
      <c r="P9" s="301">
        <f t="shared" si="1"/>
        <v>0</v>
      </c>
      <c r="Q9" s="190">
        <f t="shared" si="1"/>
        <v>0</v>
      </c>
      <c r="R9" s="301">
        <f t="shared" si="1"/>
        <v>0</v>
      </c>
      <c r="S9" s="190">
        <f t="shared" ref="S9:Y9" si="2">SUM(S3:S8)</f>
        <v>0</v>
      </c>
      <c r="T9" s="301">
        <f t="shared" si="2"/>
        <v>0</v>
      </c>
      <c r="U9" s="190">
        <f t="shared" si="2"/>
        <v>0</v>
      </c>
      <c r="V9" s="188">
        <f t="shared" si="2"/>
        <v>0</v>
      </c>
      <c r="W9" s="187">
        <f t="shared" si="2"/>
        <v>0</v>
      </c>
      <c r="X9" s="188">
        <f t="shared" si="2"/>
        <v>0</v>
      </c>
      <c r="Y9" s="616">
        <f t="shared" si="2"/>
        <v>0</v>
      </c>
      <c r="Z9" s="709">
        <f>+B9+D9+F9+H9+J9+L9+N9+P9+R9+T9+V9+X9</f>
        <v>0</v>
      </c>
      <c r="AA9" s="190">
        <f>+C9+E9+G9+I9+K9+M9+O9+Q9+S9+U9+W9+Y9</f>
        <v>0</v>
      </c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</row>
    <row r="10" spans="1:72" s="8" customFormat="1" ht="26.25" customHeight="1">
      <c r="A10" s="278" t="s">
        <v>55</v>
      </c>
      <c r="B10" s="281"/>
      <c r="C10" s="604"/>
      <c r="D10" s="607"/>
      <c r="E10" s="608"/>
      <c r="F10" s="137"/>
      <c r="G10" s="205"/>
      <c r="H10" s="206"/>
      <c r="I10" s="689"/>
      <c r="J10" s="137"/>
      <c r="K10" s="136"/>
      <c r="L10" s="249"/>
      <c r="M10" s="245"/>
      <c r="N10" s="249"/>
      <c r="O10" s="350"/>
      <c r="P10" s="249"/>
      <c r="Q10" s="245"/>
      <c r="R10" s="137"/>
      <c r="S10" s="144"/>
      <c r="T10" s="137"/>
      <c r="U10" s="207"/>
      <c r="V10" s="208"/>
      <c r="W10" s="144"/>
      <c r="X10" s="137"/>
      <c r="Y10" s="136"/>
      <c r="Z10" s="249">
        <f>+B10+D10+F10+H10+J10+L10+N10+P10+R10+T10+V10+X10</f>
        <v>0</v>
      </c>
      <c r="AA10" s="245">
        <f t="shared" si="0"/>
        <v>0</v>
      </c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</row>
    <row r="11" spans="1:72" s="8" customFormat="1" ht="27.6" customHeight="1">
      <c r="A11" s="279" t="s">
        <v>56</v>
      </c>
      <c r="B11" s="170"/>
      <c r="C11" s="125"/>
      <c r="D11" s="215"/>
      <c r="E11" s="344"/>
      <c r="F11" s="97"/>
      <c r="G11" s="90"/>
      <c r="H11" s="97"/>
      <c r="I11" s="688"/>
      <c r="J11" s="109"/>
      <c r="K11" s="165"/>
      <c r="L11" s="250"/>
      <c r="M11" s="251"/>
      <c r="N11" s="274"/>
      <c r="O11" s="275"/>
      <c r="P11" s="222"/>
      <c r="Q11" s="240"/>
      <c r="R11" s="51"/>
      <c r="S11" s="88"/>
      <c r="T11" s="132"/>
      <c r="U11" s="111"/>
      <c r="V11" s="70"/>
      <c r="W11" s="166"/>
      <c r="X11" s="138"/>
      <c r="Y11" s="69"/>
      <c r="Z11" s="300">
        <f>+B11+D11+F11+H11+J11+L11+N11+P11+R11+T11+V11+X11</f>
        <v>0</v>
      </c>
      <c r="AA11" s="330">
        <f>+C11+E11+G11+I11+K11+M11+O11+Q11+S11+U11+W11+Y11</f>
        <v>0</v>
      </c>
      <c r="AB11" s="891"/>
      <c r="AC11" s="67"/>
      <c r="AD11" s="1"/>
      <c r="AE11"/>
      <c r="AF11" s="1"/>
      <c r="AG11"/>
      <c r="AH11" s="1"/>
      <c r="AI11"/>
      <c r="AJ11" s="1"/>
      <c r="AK11"/>
      <c r="AL11" s="1"/>
      <c r="AM11"/>
      <c r="AN11" s="1"/>
      <c r="AO11"/>
      <c r="AP11" s="1"/>
      <c r="AQ11"/>
      <c r="AR11" s="1"/>
      <c r="AS11"/>
      <c r="AT11" s="1"/>
      <c r="AU11"/>
      <c r="AV11" s="1"/>
      <c r="AW11"/>
      <c r="AX11" s="1"/>
      <c r="AY11"/>
      <c r="AZ11" s="1"/>
      <c r="BA11"/>
      <c r="BB11" s="1"/>
      <c r="BC11"/>
      <c r="BD11" s="1"/>
      <c r="BE11"/>
      <c r="BF11" s="1"/>
      <c r="BG11"/>
      <c r="BH11" s="1"/>
      <c r="BI11"/>
    </row>
    <row r="12" spans="1:72" ht="27.6" customHeight="1">
      <c r="A12" s="280" t="s">
        <v>57</v>
      </c>
      <c r="B12" s="170"/>
      <c r="C12" s="605"/>
      <c r="D12" s="571"/>
      <c r="E12" s="602"/>
      <c r="F12" s="173"/>
      <c r="G12" s="139"/>
      <c r="H12" s="173"/>
      <c r="I12" s="688"/>
      <c r="J12" s="110"/>
      <c r="K12" s="371"/>
      <c r="L12" s="252"/>
      <c r="M12" s="253"/>
      <c r="N12" s="276"/>
      <c r="O12" s="277"/>
      <c r="P12" s="363"/>
      <c r="Q12" s="328"/>
      <c r="R12" s="141"/>
      <c r="S12" s="126"/>
      <c r="T12" s="127"/>
      <c r="U12" s="126"/>
      <c r="V12" s="71"/>
      <c r="W12" s="176"/>
      <c r="X12" s="142"/>
      <c r="Y12" s="303"/>
      <c r="Z12" s="363">
        <f>+B12+D12+F12+H12+J12+L12+N12+P12+R12+T12+V12+X12</f>
        <v>0</v>
      </c>
      <c r="AA12" s="277">
        <f>+C12+E12+G12+I12+K12+M12+O12+Q12+S12+U12+W12+Y12</f>
        <v>0</v>
      </c>
      <c r="AB12" s="891"/>
      <c r="AC12" s="67"/>
      <c r="AF12" s="1"/>
      <c r="AH12" s="1"/>
      <c r="AJ12" s="1"/>
      <c r="AL12" s="1"/>
      <c r="AN12" s="1"/>
      <c r="AP12" s="1"/>
      <c r="AR12" s="1"/>
      <c r="AT12" s="1"/>
      <c r="AV12" s="1"/>
      <c r="AX12" s="1"/>
      <c r="AZ12" s="1"/>
      <c r="BB12" s="1"/>
      <c r="BD12" s="1"/>
      <c r="BF12" s="1"/>
      <c r="BH12" s="1"/>
    </row>
    <row r="13" spans="1:72" ht="30.6" customHeight="1">
      <c r="A13" s="456" t="s">
        <v>58</v>
      </c>
      <c r="B13" s="203">
        <f>SUM(B10:B12)</f>
        <v>0</v>
      </c>
      <c r="C13" s="601">
        <f>SUM(C11:C12)</f>
        <v>0</v>
      </c>
      <c r="D13" s="314">
        <f t="shared" ref="D13:I13" si="3">SUM(D10:D12)</f>
        <v>0</v>
      </c>
      <c r="E13" s="315">
        <f t="shared" si="3"/>
        <v>0</v>
      </c>
      <c r="F13" s="345">
        <f t="shared" si="3"/>
        <v>0</v>
      </c>
      <c r="G13" s="346">
        <f t="shared" si="3"/>
        <v>0</v>
      </c>
      <c r="H13" s="186">
        <f t="shared" si="3"/>
        <v>0</v>
      </c>
      <c r="I13" s="266">
        <f t="shared" si="3"/>
        <v>0</v>
      </c>
      <c r="J13" s="195">
        <f t="shared" ref="J13:O13" si="4">SUM(J11:J12)</f>
        <v>0</v>
      </c>
      <c r="K13" s="192">
        <f t="shared" si="4"/>
        <v>0</v>
      </c>
      <c r="L13" s="295">
        <f t="shared" si="4"/>
        <v>0</v>
      </c>
      <c r="M13" s="296">
        <f t="shared" si="4"/>
        <v>0</v>
      </c>
      <c r="N13" s="295">
        <f t="shared" si="4"/>
        <v>0</v>
      </c>
      <c r="O13" s="296">
        <f t="shared" si="4"/>
        <v>0</v>
      </c>
      <c r="P13" s="336">
        <f>SUM(P10:P12)</f>
        <v>0</v>
      </c>
      <c r="Q13" s="329">
        <f>SUM(Q11:Q12)</f>
        <v>0</v>
      </c>
      <c r="R13" s="336">
        <f>SUM(R10:R12)</f>
        <v>0</v>
      </c>
      <c r="S13" s="266">
        <f>SUM(S11:S12)</f>
        <v>0</v>
      </c>
      <c r="T13" s="719">
        <f>SUM(T10:T12)</f>
        <v>0</v>
      </c>
      <c r="U13" s="720">
        <f t="shared" ref="U13:X13" si="5">SUM(U10:U12)</f>
        <v>0</v>
      </c>
      <c r="V13" s="336">
        <f t="shared" si="5"/>
        <v>0</v>
      </c>
      <c r="W13" s="266">
        <f t="shared" si="5"/>
        <v>0</v>
      </c>
      <c r="X13" s="336">
        <f t="shared" si="5"/>
        <v>0</v>
      </c>
      <c r="Y13" s="616">
        <f>SUM(Y10:Y12)</f>
        <v>0</v>
      </c>
      <c r="Z13" s="327">
        <f>+B13+D13+F13+H13+J13+L13+N13+P13+R13+T13+V13+X13</f>
        <v>0</v>
      </c>
      <c r="AA13" s="190">
        <f>+C13+E13+G13+I13+K13+M13+O13+Q13+S13+U13+W13+Y13</f>
        <v>0</v>
      </c>
      <c r="AB13" s="66"/>
      <c r="AC13" s="67"/>
    </row>
    <row r="14" spans="1:72" ht="26.25" customHeight="1">
      <c r="A14" s="492" t="s">
        <v>59</v>
      </c>
      <c r="B14" s="497"/>
      <c r="C14" s="472"/>
      <c r="D14" s="471"/>
      <c r="E14" s="174"/>
      <c r="F14" s="469"/>
      <c r="G14" s="470"/>
      <c r="H14" s="163"/>
      <c r="I14" s="174"/>
      <c r="J14" s="467"/>
      <c r="K14" s="468"/>
      <c r="L14" s="508"/>
      <c r="M14" s="134"/>
      <c r="N14" s="514"/>
      <c r="O14" s="515"/>
      <c r="P14" s="513"/>
      <c r="Q14" s="168" t="s">
        <v>60</v>
      </c>
      <c r="R14" s="514"/>
      <c r="S14" s="515"/>
      <c r="T14" s="523"/>
      <c r="U14" s="721"/>
      <c r="V14" s="514"/>
      <c r="W14" s="169"/>
      <c r="X14" s="514"/>
      <c r="Y14" s="515"/>
      <c r="Z14" s="514"/>
      <c r="AA14" s="515"/>
      <c r="AB14" s="66"/>
      <c r="AC14" s="67"/>
    </row>
    <row r="15" spans="1:72" ht="27" customHeight="1">
      <c r="A15" s="493" t="s">
        <v>61</v>
      </c>
      <c r="B15" s="170"/>
      <c r="C15" s="535"/>
      <c r="D15" s="445"/>
      <c r="E15" s="468"/>
      <c r="F15" s="445"/>
      <c r="G15" s="468"/>
      <c r="H15" s="445"/>
      <c r="I15" s="468"/>
      <c r="J15" s="445"/>
      <c r="K15" s="468"/>
      <c r="L15" s="496"/>
      <c r="M15" s="703"/>
      <c r="N15" s="516"/>
      <c r="O15" s="617"/>
      <c r="P15" s="496"/>
      <c r="Q15" s="511"/>
      <c r="R15" s="516"/>
      <c r="S15" s="517"/>
      <c r="T15" s="495"/>
      <c r="U15" s="65"/>
      <c r="V15" s="520"/>
      <c r="W15" s="65"/>
      <c r="X15" s="257"/>
      <c r="Y15" s="521"/>
      <c r="Z15" s="257"/>
      <c r="AA15" s="330">
        <f t="shared" si="0"/>
        <v>0</v>
      </c>
      <c r="AB15" s="66"/>
      <c r="AC15" s="67"/>
    </row>
    <row r="16" spans="1:72" ht="27.6" customHeight="1">
      <c r="A16" s="763" t="s">
        <v>62</v>
      </c>
      <c r="B16" s="97"/>
      <c r="C16" s="535"/>
      <c r="D16" s="97"/>
      <c r="E16" s="874"/>
      <c r="F16" s="97"/>
      <c r="G16" s="468"/>
      <c r="H16" s="97"/>
      <c r="I16" s="468"/>
      <c r="J16" s="97"/>
      <c r="K16" s="465"/>
      <c r="L16" s="97"/>
      <c r="M16" s="627"/>
      <c r="N16" s="170"/>
      <c r="O16" s="620"/>
      <c r="P16" s="97"/>
      <c r="Q16" s="512"/>
      <c r="R16" s="516"/>
      <c r="S16" s="519"/>
      <c r="T16" s="97"/>
      <c r="U16" s="69"/>
      <c r="V16" s="520"/>
      <c r="W16" s="69"/>
      <c r="X16" s="257"/>
      <c r="Y16" s="330"/>
      <c r="Z16" s="257"/>
      <c r="AA16" s="330">
        <f t="shared" si="0"/>
        <v>0</v>
      </c>
      <c r="AB16" s="66"/>
      <c r="AC16" s="67"/>
    </row>
    <row r="17" spans="1:29" ht="27.6" customHeight="1">
      <c r="A17" s="875" t="s">
        <v>103</v>
      </c>
      <c r="B17" s="491"/>
      <c r="C17" s="535"/>
      <c r="D17" s="97"/>
      <c r="E17" s="611"/>
      <c r="F17" s="491"/>
      <c r="G17" s="468"/>
      <c r="H17" s="491"/>
      <c r="I17" s="468"/>
      <c r="J17" s="491"/>
      <c r="K17" s="611"/>
      <c r="L17" s="491"/>
      <c r="M17" s="627"/>
      <c r="N17" s="621"/>
      <c r="O17" s="620"/>
      <c r="P17" s="491"/>
      <c r="Q17" s="512"/>
      <c r="R17" s="701"/>
      <c r="S17" s="519"/>
      <c r="T17" s="491"/>
      <c r="U17" s="69"/>
      <c r="V17" s="711"/>
      <c r="W17" s="69"/>
      <c r="X17" s="873"/>
      <c r="Y17" s="330"/>
      <c r="Z17" s="257"/>
      <c r="AA17" s="330"/>
      <c r="AB17" s="66"/>
      <c r="AC17" s="67"/>
    </row>
    <row r="18" spans="1:29" ht="27.6" customHeight="1">
      <c r="A18" s="494" t="s">
        <v>63</v>
      </c>
      <c r="B18" s="491"/>
      <c r="C18" s="535"/>
      <c r="D18" s="491"/>
      <c r="E18" s="466"/>
      <c r="F18" s="491"/>
      <c r="G18" s="468"/>
      <c r="H18" s="491"/>
      <c r="I18" s="468"/>
      <c r="J18" s="491"/>
      <c r="K18" s="466"/>
      <c r="L18" s="491"/>
      <c r="M18" s="627"/>
      <c r="N18" s="621"/>
      <c r="O18" s="619"/>
      <c r="P18" s="491"/>
      <c r="Q18" s="512"/>
      <c r="R18" s="558"/>
      <c r="S18" s="519"/>
      <c r="T18" s="491"/>
      <c r="U18" s="69"/>
      <c r="V18" s="554"/>
      <c r="W18" s="69"/>
      <c r="X18" s="554"/>
      <c r="Y18" s="330"/>
      <c r="Z18" s="257"/>
      <c r="AA18" s="330">
        <f t="shared" si="0"/>
        <v>0</v>
      </c>
      <c r="AB18" s="66"/>
      <c r="AC18" s="67"/>
    </row>
    <row r="19" spans="1:29" ht="27.6" customHeight="1">
      <c r="A19" s="614" t="s">
        <v>68</v>
      </c>
      <c r="B19" s="556"/>
      <c r="C19" s="535"/>
      <c r="D19" s="528"/>
      <c r="E19" s="525"/>
      <c r="F19" s="528"/>
      <c r="G19" s="525"/>
      <c r="H19" s="528"/>
      <c r="I19" s="525"/>
      <c r="J19" s="528"/>
      <c r="K19" s="525"/>
      <c r="L19" s="528"/>
      <c r="M19" s="628"/>
      <c r="N19" s="702"/>
      <c r="O19" s="367"/>
      <c r="P19" s="700"/>
      <c r="Q19" s="69"/>
      <c r="R19" s="170"/>
      <c r="S19" s="69"/>
      <c r="T19" s="559"/>
      <c r="U19" s="69"/>
      <c r="V19" s="181"/>
      <c r="W19" s="177"/>
      <c r="X19" s="184"/>
      <c r="Y19" s="533"/>
      <c r="Z19" s="257"/>
      <c r="AA19" s="533">
        <f t="shared" si="0"/>
        <v>0</v>
      </c>
      <c r="AB19" s="66"/>
      <c r="AC19" s="67"/>
    </row>
    <row r="20" spans="1:29" ht="27.75" customHeight="1">
      <c r="A20" s="451" t="s">
        <v>69</v>
      </c>
      <c r="B20" s="452">
        <f>SUM(B15:B19)</f>
        <v>0</v>
      </c>
      <c r="C20" s="348">
        <v>0</v>
      </c>
      <c r="D20" s="317">
        <f>SUM(D15:D19)</f>
        <v>0</v>
      </c>
      <c r="E20" s="547">
        <f>SUM(E16:E18)</f>
        <v>0</v>
      </c>
      <c r="F20" s="347">
        <f>SUM(F15:F19)</f>
        <v>0</v>
      </c>
      <c r="G20" s="547">
        <f>SUM(G15:G18)</f>
        <v>0</v>
      </c>
      <c r="H20" s="447">
        <f>SUM(H15:H19)</f>
        <v>0</v>
      </c>
      <c r="I20" s="547">
        <f>SUM(I15:I18)</f>
        <v>0</v>
      </c>
      <c r="J20" s="259">
        <f>SUM(J15:J19)</f>
        <v>0</v>
      </c>
      <c r="K20" s="548">
        <f>SUM(K15:K18)</f>
        <v>0</v>
      </c>
      <c r="L20" s="259">
        <f>SUM(L15:L19)</f>
        <v>0</v>
      </c>
      <c r="M20" s="548">
        <f>SUM(M15:M18)</f>
        <v>0</v>
      </c>
      <c r="N20" s="364">
        <f>SUM(N15:N19)</f>
        <v>0</v>
      </c>
      <c r="O20" s="365">
        <f>SUM(O15:O18)</f>
        <v>0</v>
      </c>
      <c r="P20" s="327">
        <f>SUM(P15:P19)</f>
        <v>0</v>
      </c>
      <c r="Q20" s="335">
        <f>SUM(Q15:Q18)</f>
        <v>0</v>
      </c>
      <c r="R20" s="327">
        <f>SUM(R15:R19)</f>
        <v>0</v>
      </c>
      <c r="S20" s="370">
        <f ca="1">SUM(S14:S200)</f>
        <v>0</v>
      </c>
      <c r="T20" s="327">
        <f>SUM(T14:T19)</f>
        <v>0</v>
      </c>
      <c r="U20" s="370">
        <f>SUM(U16:U18)</f>
        <v>0</v>
      </c>
      <c r="V20" s="193">
        <f>SUM(V14:V19)</f>
        <v>0</v>
      </c>
      <c r="W20" s="194"/>
      <c r="X20" s="193">
        <f>SUM(X14:X19)</f>
        <v>0</v>
      </c>
      <c r="Y20" s="192">
        <f>SUM(Y15:Y19)</f>
        <v>0</v>
      </c>
      <c r="Z20" s="709">
        <f>+B20+D20+F20+H20+J20+L20+N20+P20+R20+T20+V20+X20</f>
        <v>0</v>
      </c>
      <c r="AA20" s="190">
        <f t="shared" ca="1" si="0"/>
        <v>0</v>
      </c>
      <c r="AB20" s="66"/>
      <c r="AC20" s="67"/>
    </row>
    <row r="21" spans="1:29" ht="21">
      <c r="A21" s="457" t="s">
        <v>70</v>
      </c>
      <c r="B21" s="95"/>
      <c r="C21" s="309"/>
      <c r="D21" s="339"/>
      <c r="E21" s="340"/>
      <c r="F21" s="311"/>
      <c r="G21" s="322"/>
      <c r="H21" s="320"/>
      <c r="I21" s="179"/>
      <c r="J21" s="221"/>
      <c r="K21" s="179"/>
      <c r="L21" s="244"/>
      <c r="M21" s="136"/>
      <c r="N21" s="249"/>
      <c r="O21" s="350"/>
      <c r="P21" s="106"/>
      <c r="Q21" s="237"/>
      <c r="R21" s="106"/>
      <c r="S21" s="50"/>
      <c r="T21" s="249"/>
      <c r="U21" s="245"/>
      <c r="V21" s="138"/>
      <c r="W21" s="111"/>
      <c r="X21" s="106"/>
      <c r="Y21" s="50"/>
      <c r="Z21" s="222"/>
      <c r="AA21" s="237">
        <f t="shared" si="0"/>
        <v>0</v>
      </c>
      <c r="AB21" s="66"/>
      <c r="AC21" s="67"/>
    </row>
    <row r="22" spans="1:29" ht="26.85" customHeight="1">
      <c r="A22" s="448" t="s">
        <v>71</v>
      </c>
      <c r="B22" s="51"/>
      <c r="C22" s="309"/>
      <c r="D22" s="49"/>
      <c r="E22" s="209"/>
      <c r="F22" s="312"/>
      <c r="G22" s="308"/>
      <c r="H22" s="106"/>
      <c r="I22" s="178"/>
      <c r="J22" s="233"/>
      <c r="K22" s="178"/>
      <c r="L22" s="246"/>
      <c r="M22" s="50"/>
      <c r="N22" s="49"/>
      <c r="O22" s="275"/>
      <c r="P22" s="52"/>
      <c r="Q22" s="54"/>
      <c r="R22" s="52"/>
      <c r="S22" s="55"/>
      <c r="T22" s="49"/>
      <c r="U22" s="54"/>
      <c r="V22" s="85"/>
      <c r="W22" s="114"/>
      <c r="X22" s="775"/>
      <c r="Y22" s="55"/>
      <c r="Z22" s="749"/>
      <c r="AA22" s="54">
        <f t="shared" si="0"/>
        <v>0</v>
      </c>
      <c r="AB22" s="66"/>
      <c r="AC22" s="67"/>
    </row>
    <row r="23" spans="1:29" ht="26.85" customHeight="1">
      <c r="A23" s="449" t="s">
        <v>72</v>
      </c>
      <c r="B23" s="85"/>
      <c r="C23" s="125"/>
      <c r="D23" s="216"/>
      <c r="E23" s="210"/>
      <c r="F23" s="91"/>
      <c r="G23" s="323"/>
      <c r="H23" s="56"/>
      <c r="I23" s="134"/>
      <c r="J23" s="223"/>
      <c r="K23" s="134"/>
      <c r="L23" s="247"/>
      <c r="M23" s="50"/>
      <c r="N23" s="49"/>
      <c r="O23" s="237"/>
      <c r="P23" s="51"/>
      <c r="Q23" s="237"/>
      <c r="R23" s="145"/>
      <c r="S23" s="172"/>
      <c r="T23" s="369"/>
      <c r="U23" s="87"/>
      <c r="V23" s="133"/>
      <c r="W23" s="87"/>
      <c r="X23" s="51"/>
      <c r="Y23" s="172"/>
      <c r="Z23" s="749"/>
      <c r="AA23" s="275">
        <f>+C23+E23+G23+I23+K23+M23+O23+Q23+S23+U23+W23+Y23</f>
        <v>0</v>
      </c>
      <c r="AB23" s="66"/>
      <c r="AC23" s="67"/>
    </row>
    <row r="24" spans="1:29" ht="26.85" customHeight="1">
      <c r="A24" s="449" t="s">
        <v>73</v>
      </c>
      <c r="B24" s="52"/>
      <c r="C24" s="211"/>
      <c r="D24" s="216"/>
      <c r="E24" s="210"/>
      <c r="F24" s="51"/>
      <c r="G24" s="323"/>
      <c r="H24" s="91"/>
      <c r="I24" s="134"/>
      <c r="J24" s="223"/>
      <c r="K24" s="134"/>
      <c r="L24" s="247"/>
      <c r="M24" s="50"/>
      <c r="N24" s="49"/>
      <c r="O24" s="351"/>
      <c r="P24" s="52"/>
      <c r="Q24" s="54"/>
      <c r="R24" s="85"/>
      <c r="S24" s="55"/>
      <c r="T24" s="181"/>
      <c r="U24" s="237"/>
      <c r="V24" s="85"/>
      <c r="W24" s="114"/>
      <c r="X24" s="85"/>
      <c r="Y24" s="55"/>
      <c r="Z24" s="749"/>
      <c r="AA24" s="54">
        <f>+C24+E24+G24+I24+K24+M24+O24+Q24+S24+U24+W24+Y24</f>
        <v>0</v>
      </c>
      <c r="AB24" s="66"/>
      <c r="AC24" s="67"/>
    </row>
    <row r="25" spans="1:29" ht="26.25" customHeight="1">
      <c r="A25" s="835" t="s">
        <v>74</v>
      </c>
      <c r="B25" s="831"/>
      <c r="C25" s="830"/>
      <c r="D25" s="832"/>
      <c r="E25" s="833"/>
      <c r="F25" s="834"/>
      <c r="G25" s="167"/>
      <c r="H25" s="321"/>
      <c r="I25" s="140"/>
      <c r="J25" s="260"/>
      <c r="L25" s="248"/>
      <c r="M25" s="140"/>
      <c r="N25" s="333"/>
      <c r="O25" s="367"/>
      <c r="P25" s="145"/>
      <c r="Q25" s="240"/>
      <c r="R25" s="145"/>
      <c r="S25" s="368"/>
      <c r="T25" s="333"/>
      <c r="U25" s="277"/>
      <c r="V25" s="145"/>
      <c r="W25" s="113"/>
      <c r="X25" s="145"/>
      <c r="Y25" s="303"/>
      <c r="Z25" s="749"/>
      <c r="AA25" s="54">
        <f t="shared" ref="AA25" si="6">+C25+E25+G25+I25+K25+M25+O25+Q25+S25+U25+W25+Y25</f>
        <v>0</v>
      </c>
      <c r="AB25" s="66"/>
      <c r="AC25" s="67"/>
    </row>
    <row r="26" spans="1:29" ht="26.25" customHeight="1">
      <c r="A26" s="451" t="s">
        <v>75</v>
      </c>
      <c r="B26" s="452">
        <f>SUM(B22:B25)</f>
        <v>0</v>
      </c>
      <c r="C26" s="219">
        <f>SUM(C23:C25)</f>
        <v>0</v>
      </c>
      <c r="D26" s="317">
        <f>SUM(D22:D25)</f>
        <v>0</v>
      </c>
      <c r="E26" s="202">
        <f>SUM(E21:E25)</f>
        <v>0</v>
      </c>
      <c r="F26" s="195">
        <f t="shared" ref="F26:P26" si="7">SUM(F22:F25)</f>
        <v>0</v>
      </c>
      <c r="G26" s="185">
        <f t="shared" si="7"/>
        <v>0</v>
      </c>
      <c r="H26" s="195">
        <f t="shared" si="7"/>
        <v>0</v>
      </c>
      <c r="I26" s="231">
        <f t="shared" si="7"/>
        <v>0</v>
      </c>
      <c r="J26" s="261">
        <f t="shared" si="7"/>
        <v>0</v>
      </c>
      <c r="K26" s="262">
        <f t="shared" si="7"/>
        <v>0</v>
      </c>
      <c r="L26" s="261">
        <f t="shared" si="7"/>
        <v>0</v>
      </c>
      <c r="M26" s="262">
        <f t="shared" si="7"/>
        <v>0</v>
      </c>
      <c r="N26" s="259">
        <f t="shared" si="7"/>
        <v>0</v>
      </c>
      <c r="O26" s="366">
        <f t="shared" si="7"/>
        <v>0</v>
      </c>
      <c r="P26" s="261">
        <f t="shared" si="7"/>
        <v>0</v>
      </c>
      <c r="Q26" s="332">
        <f>SUM(Q21:Q25)</f>
        <v>0</v>
      </c>
      <c r="R26" s="261">
        <f>SUM(R22:R25)</f>
        <v>0</v>
      </c>
      <c r="S26" s="190">
        <f>SUM(S21:S25)</f>
        <v>0</v>
      </c>
      <c r="T26" s="261">
        <f>SUM(T22:T25)</f>
        <v>0</v>
      </c>
      <c r="U26" s="190">
        <f>SUM(U21:U25)</f>
        <v>0</v>
      </c>
      <c r="V26" s="188">
        <f>SUM(V21:V25)</f>
        <v>0</v>
      </c>
      <c r="W26" s="531">
        <f>SUM(W22:W25)</f>
        <v>0</v>
      </c>
      <c r="X26" s="189">
        <f>SUM(X21:X25)</f>
        <v>0</v>
      </c>
      <c r="Y26" s="748">
        <f>SUM(Y21:Y25)</f>
        <v>0</v>
      </c>
      <c r="Z26" s="709">
        <f>+B26+D26+F26+H26+J26+L26+N26+P26+R26+T26+V26+X26</f>
        <v>0</v>
      </c>
      <c r="AA26" s="332">
        <f>+C26+E26+G26+I26+K26+M26+O26+Q26+S26+U26+W26+Y26</f>
        <v>0</v>
      </c>
      <c r="AB26" s="66"/>
      <c r="AC26" s="67"/>
    </row>
    <row r="27" spans="1:29" ht="26.25" customHeight="1">
      <c r="A27" s="453" t="s">
        <v>76</v>
      </c>
      <c r="B27" s="594"/>
      <c r="C27" s="595"/>
      <c r="D27" s="593"/>
      <c r="E27" s="342"/>
      <c r="F27" s="232"/>
      <c r="G27" s="242"/>
      <c r="H27" s="656"/>
      <c r="I27" s="135"/>
      <c r="J27" s="649"/>
      <c r="K27" s="242"/>
      <c r="L27" s="660"/>
      <c r="M27" s="50"/>
      <c r="N27" s="298"/>
      <c r="O27" s="350"/>
      <c r="P27" s="148"/>
      <c r="Q27" s="147"/>
      <c r="R27" s="668"/>
      <c r="S27" s="349"/>
      <c r="T27" s="668"/>
      <c r="U27" s="349"/>
      <c r="V27" s="668"/>
      <c r="W27" s="235"/>
      <c r="X27" s="530"/>
      <c r="Y27" s="349"/>
      <c r="Z27" s="298"/>
      <c r="AA27" s="235">
        <f t="shared" si="0"/>
        <v>0</v>
      </c>
      <c r="AB27" s="66"/>
      <c r="AC27" s="67"/>
    </row>
    <row r="28" spans="1:29" ht="27.6" customHeight="1">
      <c r="A28" s="283" t="s">
        <v>77</v>
      </c>
      <c r="B28" s="49"/>
      <c r="C28" s="532"/>
      <c r="D28" s="51"/>
      <c r="E28" s="343"/>
      <c r="F28" s="56"/>
      <c r="G28" s="69"/>
      <c r="H28" s="657"/>
      <c r="I28" s="69"/>
      <c r="J28" s="650"/>
      <c r="K28" s="69"/>
      <c r="L28" s="661"/>
      <c r="M28" s="50"/>
      <c r="N28" s="696"/>
      <c r="O28" s="275"/>
      <c r="P28" s="51"/>
      <c r="Q28" s="670"/>
      <c r="R28" s="669"/>
      <c r="S28" s="69"/>
      <c r="T28" s="671"/>
      <c r="U28" s="177"/>
      <c r="V28" s="444"/>
      <c r="W28" s="326"/>
      <c r="X28" s="181"/>
      <c r="Y28" s="69"/>
      <c r="Z28" s="181"/>
      <c r="AA28" s="330">
        <f>+C28+E28+G28+I28+K28+M28+O28+Q28+S28+U28+W28+Y28</f>
        <v>0</v>
      </c>
      <c r="AB28" s="66"/>
      <c r="AC28" s="67"/>
    </row>
    <row r="29" spans="1:29" ht="27.6" customHeight="1">
      <c r="A29" s="283" t="s">
        <v>78</v>
      </c>
      <c r="B29" s="49"/>
      <c r="C29" s="344"/>
      <c r="D29" s="51"/>
      <c r="E29" s="330"/>
      <c r="F29" s="56"/>
      <c r="G29" s="69"/>
      <c r="H29" s="650"/>
      <c r="I29" s="69"/>
      <c r="J29" s="650"/>
      <c r="K29" s="177"/>
      <c r="L29" s="650"/>
      <c r="M29" s="50"/>
      <c r="N29" s="697"/>
      <c r="O29" s="237"/>
      <c r="P29" s="51"/>
      <c r="Q29" s="665"/>
      <c r="R29" s="669"/>
      <c r="S29" s="69"/>
      <c r="T29" s="671"/>
      <c r="U29" s="529"/>
      <c r="V29" s="444"/>
      <c r="W29" s="330"/>
      <c r="X29" s="181"/>
      <c r="Y29" s="69"/>
      <c r="Z29" s="181"/>
      <c r="AA29" s="330">
        <f>+C29+E29+G29+I29+K29+M29+O29+Q29+S29+U29+W29+Y29</f>
        <v>0</v>
      </c>
      <c r="AB29" s="66"/>
      <c r="AC29" s="67"/>
    </row>
    <row r="30" spans="1:29" ht="27.6" customHeight="1">
      <c r="A30" s="283" t="s">
        <v>79</v>
      </c>
      <c r="B30" s="181"/>
      <c r="C30" s="344"/>
      <c r="D30" s="51"/>
      <c r="E30" s="344"/>
      <c r="F30" s="101"/>
      <c r="G30" s="69"/>
      <c r="H30" s="658"/>
      <c r="I30" s="69"/>
      <c r="J30" s="650"/>
      <c r="K30" s="177"/>
      <c r="L30" s="650"/>
      <c r="M30" s="50"/>
      <c r="N30" s="222"/>
      <c r="O30" s="330"/>
      <c r="P30" s="106"/>
      <c r="Q30" s="177"/>
      <c r="R30" s="663"/>
      <c r="S30" s="177"/>
      <c r="T30" s="666"/>
      <c r="U30" s="69"/>
      <c r="V30" s="663"/>
      <c r="W30" s="532"/>
      <c r="X30" s="106"/>
      <c r="Y30" s="69"/>
      <c r="Z30" s="181"/>
      <c r="AA30" s="330">
        <f>+C30+E30+G30+I30+K30+M30+O30+Q30+S30+U30+W30+Y30</f>
        <v>0</v>
      </c>
      <c r="AB30" s="66"/>
      <c r="AC30" s="67"/>
    </row>
    <row r="31" spans="1:29" ht="27.6" customHeight="1">
      <c r="A31" s="283" t="s">
        <v>80</v>
      </c>
      <c r="B31" s="257"/>
      <c r="C31" s="596"/>
      <c r="D31" s="560"/>
      <c r="E31" s="344"/>
      <c r="F31" s="68"/>
      <c r="G31" s="65"/>
      <c r="H31" s="651"/>
      <c r="I31" s="177"/>
      <c r="J31" s="651"/>
      <c r="K31" s="65"/>
      <c r="L31" s="650"/>
      <c r="M31" s="172"/>
      <c r="N31" s="48"/>
      <c r="O31" s="297"/>
      <c r="P31" s="106"/>
      <c r="Q31" s="177"/>
      <c r="R31" s="664"/>
      <c r="S31" s="723"/>
      <c r="T31" s="672"/>
      <c r="U31" s="177"/>
      <c r="V31" s="674"/>
      <c r="W31" s="532"/>
      <c r="X31" s="106"/>
      <c r="Y31" s="69"/>
      <c r="Z31" s="181"/>
      <c r="AA31" s="330">
        <f>+C31+E31+G31+I31+K31+M31+O31+Q31+S31+U31+W31+Y31</f>
        <v>0</v>
      </c>
      <c r="AB31" s="66"/>
      <c r="AC31" s="67"/>
    </row>
    <row r="32" spans="1:29" ht="27.6" customHeight="1">
      <c r="A32" s="282" t="s">
        <v>81</v>
      </c>
      <c r="B32" s="49"/>
      <c r="C32" s="597"/>
      <c r="D32" s="687"/>
      <c r="E32" s="443"/>
      <c r="F32" s="686"/>
      <c r="G32" s="501"/>
      <c r="H32" s="659"/>
      <c r="I32" s="654"/>
      <c r="J32" s="652"/>
      <c r="K32" s="180"/>
      <c r="L32" s="652"/>
      <c r="M32" s="50"/>
      <c r="N32" s="615"/>
      <c r="O32" s="698"/>
      <c r="P32" s="138"/>
      <c r="Q32" s="368"/>
      <c r="R32" s="667"/>
      <c r="S32" s="368"/>
      <c r="T32" s="673"/>
      <c r="U32" s="368"/>
      <c r="V32" s="667"/>
      <c r="W32" s="240"/>
      <c r="X32" s="138"/>
      <c r="Y32" s="368"/>
      <c r="Z32" s="181"/>
      <c r="AA32" s="330">
        <f t="shared" ref="AA32" si="8">+C32+E32+G32+I32+K32+M32+O32+Q32+S32+U32+W32+Y32</f>
        <v>0</v>
      </c>
      <c r="AB32" s="66"/>
      <c r="AC32" s="67"/>
    </row>
    <row r="33" spans="1:50" s="8" customFormat="1" ht="28.5" customHeight="1">
      <c r="A33" s="282" t="s">
        <v>82</v>
      </c>
      <c r="B33" s="257"/>
      <c r="C33" s="596"/>
      <c r="D33" s="51"/>
      <c r="E33" s="125"/>
      <c r="F33" s="475"/>
      <c r="G33" s="512"/>
      <c r="H33" s="648"/>
      <c r="I33" s="572"/>
      <c r="J33" s="653"/>
      <c r="K33" s="572"/>
      <c r="L33" s="662"/>
      <c r="M33" s="627"/>
      <c r="N33" s="699"/>
      <c r="O33" s="618"/>
      <c r="P33" s="693"/>
      <c r="Q33" s="627"/>
      <c r="R33" s="475"/>
      <c r="S33" s="627"/>
      <c r="T33" s="475"/>
      <c r="U33" s="627"/>
      <c r="V33" s="475"/>
      <c r="W33" s="627"/>
      <c r="X33" s="475"/>
      <c r="Y33" s="627"/>
      <c r="Z33" s="181"/>
      <c r="AA33" s="330">
        <f>+C33+E33+G33+I33+K33+M33+O33+Q33+S33+U33+W33+Y33</f>
        <v>0</v>
      </c>
      <c r="AB33" s="66"/>
      <c r="AC33" s="67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s="8" customFormat="1" ht="28.5" customHeight="1">
      <c r="A34" s="774" t="s">
        <v>104</v>
      </c>
      <c r="B34" s="769"/>
      <c r="C34" s="770"/>
      <c r="D34" s="871"/>
      <c r="E34" s="582"/>
      <c r="F34" s="475"/>
      <c r="G34" s="512"/>
      <c r="H34" s="772"/>
      <c r="I34" s="572"/>
      <c r="J34" s="773"/>
      <c r="K34" s="572"/>
      <c r="L34" s="662"/>
      <c r="M34" s="627"/>
      <c r="N34" s="662"/>
      <c r="O34" s="618"/>
      <c r="P34" s="693"/>
      <c r="Q34" s="627"/>
      <c r="R34" s="475"/>
      <c r="S34" s="627"/>
      <c r="T34" s="475"/>
      <c r="U34" s="627"/>
      <c r="V34" s="475"/>
      <c r="W34" s="627"/>
      <c r="X34" s="475"/>
      <c r="Y34" s="627"/>
      <c r="Z34" s="181"/>
      <c r="AA34" s="330">
        <f>+C34+E34+G34+I34+K34+M34+O34+Q34+S34+U34+W34+Y34</f>
        <v>0</v>
      </c>
      <c r="AB34" s="66"/>
      <c r="AC34" s="67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s="8" customFormat="1" ht="28.5" customHeight="1">
      <c r="A35" s="7" t="s">
        <v>84</v>
      </c>
      <c r="B35" s="769"/>
      <c r="C35" s="770"/>
      <c r="D35" s="771"/>
      <c r="E35" s="582"/>
      <c r="F35" s="475"/>
      <c r="G35" s="512"/>
      <c r="H35" s="648"/>
      <c r="I35" s="765"/>
      <c r="J35" s="653"/>
      <c r="K35" s="765"/>
      <c r="L35" s="766"/>
      <c r="M35" s="627"/>
      <c r="N35" s="768"/>
      <c r="O35" s="367"/>
      <c r="P35" s="106"/>
      <c r="Q35" s="767"/>
      <c r="R35" s="475"/>
      <c r="S35" s="767"/>
      <c r="T35" s="475"/>
      <c r="U35" s="767"/>
      <c r="V35" s="475"/>
      <c r="W35" s="767"/>
      <c r="X35" s="475"/>
      <c r="Y35" s="767"/>
      <c r="Z35" s="181"/>
      <c r="AA35" s="330">
        <f>+C35+E35+G35+I35+K35+M35+O35+Q35+S35+U35+W35+Y35</f>
        <v>0</v>
      </c>
      <c r="AB35" s="66"/>
      <c r="AC35" s="67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ht="26.25" customHeight="1">
      <c r="A36" s="285" t="s">
        <v>85</v>
      </c>
      <c r="B36" s="632">
        <f t="shared" ref="B36:L36" si="9">SUM(B28:B35)</f>
        <v>0</v>
      </c>
      <c r="C36" s="633">
        <f t="shared" si="9"/>
        <v>0</v>
      </c>
      <c r="D36" s="632">
        <f t="shared" si="9"/>
        <v>0</v>
      </c>
      <c r="E36" s="634">
        <f t="shared" si="9"/>
        <v>0</v>
      </c>
      <c r="F36" s="635">
        <f t="shared" si="9"/>
        <v>0</v>
      </c>
      <c r="G36" s="634">
        <f t="shared" si="9"/>
        <v>0</v>
      </c>
      <c r="H36" s="635">
        <f t="shared" si="9"/>
        <v>0</v>
      </c>
      <c r="I36" s="655">
        <f t="shared" si="9"/>
        <v>0</v>
      </c>
      <c r="J36" s="635">
        <f t="shared" si="9"/>
        <v>0</v>
      </c>
      <c r="K36" s="636">
        <f t="shared" si="9"/>
        <v>0</v>
      </c>
      <c r="L36" s="635">
        <f t="shared" si="9"/>
        <v>0</v>
      </c>
      <c r="M36" s="637">
        <f>SUM(M28:M32)</f>
        <v>0</v>
      </c>
      <c r="N36" s="694">
        <f>SUM(N28:N35)</f>
        <v>0</v>
      </c>
      <c r="O36" s="695">
        <f>SUM(O28:O35)</f>
        <v>0</v>
      </c>
      <c r="P36" s="638">
        <f>SUM(P28:P35)</f>
        <v>0</v>
      </c>
      <c r="Q36" s="637">
        <f>SUM(Q28:Q35)</f>
        <v>0</v>
      </c>
      <c r="R36" s="638">
        <f>SUM(R28:R35)</f>
        <v>0</v>
      </c>
      <c r="S36" s="634">
        <f>SUM(S27:S35)</f>
        <v>0</v>
      </c>
      <c r="T36" s="638">
        <f>SUM(T28:T35)</f>
        <v>0</v>
      </c>
      <c r="U36" s="634">
        <f>SUM(U27:U35)</f>
        <v>0</v>
      </c>
      <c r="V36" s="630">
        <f>SUM(V28:V35)</f>
        <v>0</v>
      </c>
      <c r="W36" s="634">
        <f>SUM(W27:W35)</f>
        <v>0</v>
      </c>
      <c r="X36" s="639">
        <f>SUM(X27:X35)</f>
        <v>0</v>
      </c>
      <c r="Y36" s="708">
        <f>SUM(Y27:Y35)</f>
        <v>0</v>
      </c>
      <c r="Z36" s="750">
        <f>+B36+D36+F36+H36+J36+L36+N36+P36+R36+T36+V36+X36</f>
        <v>0</v>
      </c>
      <c r="AA36" s="751">
        <f>+C36+E36+G36+I36+K36+M36+O36+Q36+S36+U36+W36+Y36</f>
        <v>0</v>
      </c>
      <c r="AB36" s="66"/>
      <c r="AC36" s="67"/>
    </row>
    <row r="37" spans="1:50" s="8" customFormat="1" ht="26.25" customHeight="1">
      <c r="A37" s="286" t="s">
        <v>86</v>
      </c>
      <c r="B37" s="640"/>
      <c r="C37" s="641"/>
      <c r="D37" s="642"/>
      <c r="E37" s="220"/>
      <c r="F37" s="232"/>
      <c r="G37" s="220"/>
      <c r="H37" s="232"/>
      <c r="I37" s="105"/>
      <c r="K37" s="242"/>
      <c r="L37" s="643"/>
      <c r="M37" s="629"/>
      <c r="N37" s="644"/>
      <c r="O37" s="297"/>
      <c r="P37" s="644"/>
      <c r="Q37" s="441"/>
      <c r="R37" s="644"/>
      <c r="S37" s="629"/>
      <c r="T37" s="645"/>
      <c r="U37" s="646"/>
      <c r="V37" s="631"/>
      <c r="W37" s="647"/>
      <c r="X37" s="631"/>
      <c r="Y37" s="629"/>
      <c r="Z37" s="298"/>
      <c r="AA37" s="235">
        <f t="shared" si="0"/>
        <v>0</v>
      </c>
      <c r="AB37" s="66"/>
      <c r="AC37" s="6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s="8" customFormat="1" ht="26.25" customHeight="1">
      <c r="A38" s="283" t="s">
        <v>87</v>
      </c>
      <c r="B38" s="215"/>
      <c r="C38" s="211"/>
      <c r="D38" s="128"/>
      <c r="E38" s="150"/>
      <c r="F38" s="86"/>
      <c r="G38" s="104"/>
      <c r="H38" s="98"/>
      <c r="I38" s="107"/>
      <c r="J38" s="236"/>
      <c r="K38" s="124"/>
      <c r="L38" s="236"/>
      <c r="M38" s="50"/>
      <c r="N38" s="223"/>
      <c r="O38" s="275"/>
      <c r="P38" s="215"/>
      <c r="Q38" s="172"/>
      <c r="R38" s="222"/>
      <c r="S38" s="50"/>
      <c r="T38" s="474"/>
      <c r="U38" s="489"/>
      <c r="V38" s="106"/>
      <c r="W38" s="111"/>
      <c r="X38" s="106"/>
      <c r="Y38" s="172"/>
      <c r="Z38" s="222"/>
      <c r="AA38" s="275">
        <f>+C38+E38+G38+I38+K38+M38+O38+Q38+S38+U38+W38+Y38</f>
        <v>0</v>
      </c>
      <c r="AB38" s="66"/>
      <c r="AC38" s="67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s="8" customFormat="1" ht="26.25" customHeight="1">
      <c r="A39" s="283" t="s">
        <v>88</v>
      </c>
      <c r="B39" s="49"/>
      <c r="C39" s="162"/>
      <c r="D39" s="128"/>
      <c r="E39" s="104"/>
      <c r="F39" s="98"/>
      <c r="G39" s="108"/>
      <c r="H39" s="679"/>
      <c r="I39" s="108"/>
      <c r="J39" s="164"/>
      <c r="K39" s="134"/>
      <c r="L39" s="49"/>
      <c r="M39" s="50"/>
      <c r="N39" s="49"/>
      <c r="P39" s="257"/>
      <c r="Q39" s="50"/>
      <c r="R39" s="222"/>
      <c r="S39" s="50"/>
      <c r="T39" s="490"/>
      <c r="U39" s="463"/>
      <c r="V39" s="51"/>
      <c r="W39" s="111"/>
      <c r="X39" s="51"/>
      <c r="Y39" s="50"/>
      <c r="Z39" s="222"/>
      <c r="AA39" s="275">
        <f>+C39+E39+G39+I39+K39+M39+O39+Q39+S39+U39+W39+Y39</f>
        <v>0</v>
      </c>
      <c r="AB39" s="66"/>
      <c r="AC39" s="67"/>
    </row>
    <row r="40" spans="1:50" s="8" customFormat="1" ht="26.25" customHeight="1">
      <c r="A40" s="283" t="s">
        <v>89</v>
      </c>
      <c r="B40" s="292"/>
      <c r="C40" s="211"/>
      <c r="D40" s="128"/>
      <c r="E40" s="150"/>
      <c r="F40" s="106"/>
      <c r="G40" s="150"/>
      <c r="H40" s="106"/>
      <c r="I40" s="150"/>
      <c r="J40" s="96"/>
      <c r="K40" s="124"/>
      <c r="L40" s="49"/>
      <c r="M40" s="124"/>
      <c r="N40" s="222"/>
      <c r="O40" s="237"/>
      <c r="P40" s="222"/>
      <c r="Q40" s="50"/>
      <c r="R40" s="222"/>
      <c r="S40" s="50"/>
      <c r="T40" s="475"/>
      <c r="U40" s="463"/>
      <c r="V40" s="106"/>
      <c r="W40" s="111"/>
      <c r="X40" s="106"/>
      <c r="Y40" s="50"/>
      <c r="Z40" s="222"/>
      <c r="AA40" s="275">
        <f t="shared" ref="Z39:AA48" si="10">+C40+E40+G40+I40+K40+M40+O40+Q40+S40+U40+W40+Y40</f>
        <v>0</v>
      </c>
      <c r="AB40" s="66"/>
      <c r="AC40" s="67"/>
    </row>
    <row r="41" spans="1:50" s="8" customFormat="1" ht="26.25" customHeight="1">
      <c r="A41" s="283" t="s">
        <v>90</v>
      </c>
      <c r="B41" s="292"/>
      <c r="C41" s="212"/>
      <c r="D41" s="128"/>
      <c r="E41" s="150"/>
      <c r="F41" s="106"/>
      <c r="G41" s="90"/>
      <c r="H41" s="106"/>
      <c r="I41" s="151"/>
      <c r="J41" s="106"/>
      <c r="K41" s="134"/>
      <c r="L41" s="223"/>
      <c r="M41" s="50"/>
      <c r="N41" s="222"/>
      <c r="O41" s="351"/>
      <c r="P41" s="222"/>
      <c r="Q41" s="50"/>
      <c r="R41" s="222"/>
      <c r="S41" s="50"/>
      <c r="T41" s="474"/>
      <c r="U41" s="463"/>
      <c r="V41" s="722"/>
      <c r="W41" s="121"/>
      <c r="X41" s="106"/>
      <c r="Y41" s="50"/>
      <c r="Z41" s="222"/>
      <c r="AA41" s="275">
        <f>+C41+E41+G41+I41+K41+M41+O41+Q41+S41+U41+W41+Y41</f>
        <v>0</v>
      </c>
      <c r="AB41" s="66"/>
      <c r="AC41" s="67"/>
    </row>
    <row r="42" spans="1:50" s="8" customFormat="1" ht="27" customHeight="1">
      <c r="A42" s="283" t="s">
        <v>91</v>
      </c>
      <c r="B42" s="292"/>
      <c r="C42" s="211"/>
      <c r="D42" s="128"/>
      <c r="E42" s="105"/>
      <c r="F42" s="52"/>
      <c r="G42" s="149"/>
      <c r="H42" s="229"/>
      <c r="I42" s="108"/>
      <c r="J42" s="229"/>
      <c r="K42" s="134"/>
      <c r="L42" s="216"/>
      <c r="M42" s="50"/>
      <c r="N42" s="49"/>
      <c r="O42" s="237"/>
      <c r="P42" s="49"/>
      <c r="Q42" s="50"/>
      <c r="R42" s="222"/>
      <c r="S42" s="50"/>
      <c r="T42" s="475"/>
      <c r="U42" s="463"/>
      <c r="V42" s="106"/>
      <c r="W42" s="111"/>
      <c r="X42" s="106"/>
      <c r="Y42" s="50"/>
      <c r="Z42" s="222"/>
      <c r="AA42" s="275">
        <f t="shared" si="10"/>
        <v>0</v>
      </c>
      <c r="AB42" s="66"/>
      <c r="AC42" s="67"/>
    </row>
    <row r="43" spans="1:50" s="8" customFormat="1" ht="26.25" customHeight="1">
      <c r="A43" s="283" t="s">
        <v>92</v>
      </c>
      <c r="B43" s="292"/>
      <c r="C43" s="212"/>
      <c r="D43" s="123"/>
      <c r="E43" s="104"/>
      <c r="F43" s="51"/>
      <c r="G43" s="107"/>
      <c r="H43" s="106"/>
      <c r="I43" s="108"/>
      <c r="J43" s="106"/>
      <c r="K43" s="124"/>
      <c r="L43" s="222"/>
      <c r="M43" s="172"/>
      <c r="N43" s="222"/>
      <c r="O43" s="237"/>
      <c r="P43" s="223"/>
      <c r="Q43" s="172"/>
      <c r="R43" s="222"/>
      <c r="S43" s="177"/>
      <c r="T43" s="475"/>
      <c r="U43" s="182"/>
      <c r="V43" s="106"/>
      <c r="W43" s="111"/>
      <c r="X43" s="98"/>
      <c r="Y43" s="50"/>
      <c r="Z43" s="222"/>
      <c r="AA43" s="275">
        <f>+C43+E43+G43+I43+K43+M43+O43+Q43+S43+U43+W43+Y43</f>
        <v>0</v>
      </c>
      <c r="AB43" s="33"/>
      <c r="AC43" s="67"/>
    </row>
    <row r="44" spans="1:50" s="8" customFormat="1" ht="27.6" customHeight="1">
      <c r="A44" s="283" t="s">
        <v>93</v>
      </c>
      <c r="B44" s="318"/>
      <c r="C44" s="213"/>
      <c r="D44" s="318"/>
      <c r="E44" s="108"/>
      <c r="F44" s="91"/>
      <c r="G44" s="149"/>
      <c r="H44" s="152"/>
      <c r="I44" s="108"/>
      <c r="J44" s="152"/>
      <c r="K44" s="124"/>
      <c r="L44" s="238"/>
      <c r="M44" s="50"/>
      <c r="N44" s="238"/>
      <c r="O44" s="237"/>
      <c r="P44" s="238"/>
      <c r="Q44" s="50"/>
      <c r="R44" s="238"/>
      <c r="S44" s="50"/>
      <c r="T44" s="476"/>
      <c r="U44" s="463"/>
      <c r="V44" s="112"/>
      <c r="W44" s="111"/>
      <c r="X44" s="112"/>
      <c r="Y44" s="50"/>
      <c r="Z44" s="222"/>
      <c r="AA44" s="275">
        <f t="shared" si="10"/>
        <v>0</v>
      </c>
      <c r="AB44" s="32"/>
      <c r="AC44" s="67"/>
    </row>
    <row r="45" spans="1:50" s="8" customFormat="1" ht="29.25" customHeight="1">
      <c r="A45" s="283" t="s">
        <v>94</v>
      </c>
      <c r="B45" s="292"/>
      <c r="C45" s="212"/>
      <c r="D45" s="128"/>
      <c r="E45" s="108"/>
      <c r="F45" s="106"/>
      <c r="G45" s="90"/>
      <c r="H45" s="106"/>
      <c r="I45" s="108"/>
      <c r="J45" s="164"/>
      <c r="K45" s="134"/>
      <c r="L45" s="223"/>
      <c r="M45" s="50"/>
      <c r="N45" s="222"/>
      <c r="O45" s="237"/>
      <c r="P45" s="331"/>
      <c r="Q45" s="50"/>
      <c r="R45" s="49"/>
      <c r="T45" s="477"/>
      <c r="U45" s="463"/>
      <c r="V45" s="106"/>
      <c r="W45" s="111"/>
      <c r="X45" s="106"/>
      <c r="Y45" s="50"/>
      <c r="Z45" s="222"/>
      <c r="AA45" s="275">
        <f t="shared" si="10"/>
        <v>0</v>
      </c>
      <c r="AB45" s="30"/>
      <c r="AC45" s="273"/>
      <c r="AD45" s="201"/>
    </row>
    <row r="46" spans="1:50" s="201" customFormat="1" ht="26.25" customHeight="1">
      <c r="A46" s="569" t="s">
        <v>95</v>
      </c>
      <c r="B46" s="292"/>
      <c r="C46" s="267"/>
      <c r="D46" s="316"/>
      <c r="E46" s="268"/>
      <c r="F46" s="86"/>
      <c r="G46" s="268"/>
      <c r="H46" s="86"/>
      <c r="I46" s="108"/>
      <c r="J46" s="86"/>
      <c r="K46" s="269"/>
      <c r="L46" s="473"/>
      <c r="M46" s="325"/>
      <c r="N46" s="374"/>
      <c r="O46" s="270"/>
      <c r="P46" s="374"/>
      <c r="Q46" s="325"/>
      <c r="R46" s="509"/>
      <c r="S46" s="325"/>
      <c r="T46" s="510"/>
      <c r="U46" s="478"/>
      <c r="V46" s="510"/>
      <c r="W46" s="271"/>
      <c r="X46" s="86"/>
      <c r="Y46" s="325"/>
      <c r="Z46" s="222"/>
      <c r="AA46" s="275">
        <f t="shared" si="10"/>
        <v>0</v>
      </c>
      <c r="AB46" s="272"/>
      <c r="AC46" s="273"/>
    </row>
    <row r="47" spans="1:50" s="201" customFormat="1" ht="26.25" customHeight="1">
      <c r="A47" s="570" t="s">
        <v>96</v>
      </c>
      <c r="B47" s="292"/>
      <c r="C47" s="499"/>
      <c r="D47" s="316"/>
      <c r="E47" s="500"/>
      <c r="F47" s="109"/>
      <c r="G47" s="500"/>
      <c r="H47" s="109"/>
      <c r="I47" s="146"/>
      <c r="J47" s="86"/>
      <c r="K47" s="501"/>
      <c r="L47" s="473"/>
      <c r="M47" s="502"/>
      <c r="N47" s="503"/>
      <c r="O47" s="504"/>
      <c r="P47" s="503"/>
      <c r="Q47" s="502"/>
      <c r="R47" s="250"/>
      <c r="S47" s="368"/>
      <c r="T47" s="507"/>
      <c r="U47" s="505"/>
      <c r="V47" s="524"/>
      <c r="W47" s="506"/>
      <c r="X47" s="86"/>
      <c r="Y47" s="502"/>
      <c r="Z47" s="222"/>
      <c r="AA47" s="275">
        <f>+C47+E47+G47+I47+K47+M47+O47+Q47+S47+U47+W47+Y47</f>
        <v>0</v>
      </c>
      <c r="AB47" s="272"/>
      <c r="AC47" s="28"/>
      <c r="AD47" s="8"/>
    </row>
    <row r="48" spans="1:50" s="201" customFormat="1" ht="26.25" customHeight="1">
      <c r="A48" s="284" t="s">
        <v>97</v>
      </c>
      <c r="B48" s="293"/>
      <c r="C48" s="499"/>
      <c r="D48" s="316"/>
      <c r="E48" s="500"/>
      <c r="F48" s="109"/>
      <c r="G48" s="500"/>
      <c r="H48" s="109"/>
      <c r="I48" s="146"/>
      <c r="J48" s="86"/>
      <c r="K48" s="501"/>
      <c r="L48" s="473"/>
      <c r="M48" s="502"/>
      <c r="N48" s="503"/>
      <c r="O48" s="504"/>
      <c r="P48" s="503"/>
      <c r="Q48" s="502"/>
      <c r="R48" s="250"/>
      <c r="S48" s="368"/>
      <c r="T48" s="507"/>
      <c r="U48" s="505"/>
      <c r="V48" s="524"/>
      <c r="W48" s="506"/>
      <c r="X48" s="86"/>
      <c r="Y48" s="502"/>
      <c r="Z48" s="222"/>
      <c r="AA48" s="275">
        <f>+C48+E48+G48+I48+K48+M48+O48+Q48+S48+U48+W48+Y48</f>
        <v>0</v>
      </c>
      <c r="AB48" s="272"/>
      <c r="AC48" s="28"/>
      <c r="AD48" s="8"/>
    </row>
    <row r="49" spans="1:32" s="8" customFormat="1" ht="27" customHeight="1">
      <c r="A49" s="284" t="s">
        <v>98</v>
      </c>
      <c r="B49" s="294"/>
      <c r="C49" s="214"/>
      <c r="D49" s="128"/>
      <c r="E49" s="104"/>
      <c r="F49" s="138"/>
      <c r="G49" s="107"/>
      <c r="H49" s="142"/>
      <c r="I49" s="153"/>
      <c r="J49" s="98"/>
      <c r="K49" s="234"/>
      <c r="L49" s="239"/>
      <c r="M49" s="175"/>
      <c r="N49" s="373"/>
      <c r="O49" s="375"/>
      <c r="P49" s="333"/>
      <c r="Q49" s="303"/>
      <c r="R49" s="363"/>
      <c r="S49" s="303"/>
      <c r="T49" s="479"/>
      <c r="U49" s="464"/>
      <c r="V49" s="154"/>
      <c r="W49" s="155"/>
      <c r="X49" s="106"/>
      <c r="Y49" s="230"/>
      <c r="Z49" s="222"/>
      <c r="AA49" s="275">
        <f>+C49+E49+G49+I49+K49+M49+O49+Q49+S49+U49+W49+Y49</f>
        <v>0</v>
      </c>
      <c r="AB49" s="29"/>
      <c r="AC49" s="27"/>
    </row>
    <row r="50" spans="1:32" s="8" customFormat="1" ht="31.5" customHeight="1">
      <c r="A50" s="287" t="s">
        <v>99</v>
      </c>
      <c r="B50" s="217">
        <f t="shared" ref="B50:L50" si="11">SUM(B38:B49)</f>
        <v>0</v>
      </c>
      <c r="C50" s="197">
        <f t="shared" si="11"/>
        <v>0</v>
      </c>
      <c r="D50" s="319">
        <f>SUM(D38:D49)</f>
        <v>0</v>
      </c>
      <c r="E50" s="196">
        <f t="shared" si="11"/>
        <v>0</v>
      </c>
      <c r="F50" s="191">
        <f t="shared" si="11"/>
        <v>0</v>
      </c>
      <c r="G50" s="196">
        <f t="shared" si="11"/>
        <v>0</v>
      </c>
      <c r="H50" s="191">
        <f t="shared" si="11"/>
        <v>0</v>
      </c>
      <c r="I50" s="196">
        <f t="shared" si="11"/>
        <v>0</v>
      </c>
      <c r="J50" s="191">
        <f t="shared" si="11"/>
        <v>0</v>
      </c>
      <c r="K50" s="258">
        <f t="shared" si="11"/>
        <v>0</v>
      </c>
      <c r="L50" s="191">
        <f t="shared" si="11"/>
        <v>0</v>
      </c>
      <c r="M50" s="299">
        <f t="shared" ref="M50:P50" si="12">SUM(M37:M49)</f>
        <v>0</v>
      </c>
      <c r="N50" s="301">
        <f t="shared" si="12"/>
        <v>0</v>
      </c>
      <c r="O50" s="302">
        <f t="shared" si="12"/>
        <v>0</v>
      </c>
      <c r="P50" s="327">
        <f t="shared" si="12"/>
        <v>0</v>
      </c>
      <c r="Q50" s="302">
        <f>SUM(Q37:Q49)</f>
        <v>0</v>
      </c>
      <c r="R50" s="327">
        <f>SUM(R37:R49)</f>
        <v>0</v>
      </c>
      <c r="S50" s="348">
        <f>SUM(S37:S49)</f>
        <v>0</v>
      </c>
      <c r="T50" s="327">
        <f>SUM(T37:T49)</f>
        <v>0</v>
      </c>
      <c r="U50" s="370">
        <f t="shared" ref="U50:Y50" si="13">SUM(U37:U49)</f>
        <v>0</v>
      </c>
      <c r="V50" s="198">
        <f>SUM(V37:V49)</f>
        <v>0</v>
      </c>
      <c r="W50" s="199">
        <f>SUM(W37:W49)</f>
        <v>0</v>
      </c>
      <c r="X50" s="198">
        <f>SUM(X37:X49)</f>
        <v>0</v>
      </c>
      <c r="Y50" s="752">
        <f t="shared" si="13"/>
        <v>0</v>
      </c>
      <c r="Z50" s="301">
        <f>+B50+D50+F50+H50+J50+L50+N50+P50+R50+T50+V50+X50</f>
        <v>0</v>
      </c>
      <c r="AA50" s="753">
        <f>+C50+E50+G50+I50+K50+M50+O50+Q50+S50+U50+W50+Y50</f>
        <v>0</v>
      </c>
      <c r="AB50" s="20"/>
      <c r="AC50" s="26"/>
    </row>
    <row r="51" spans="1:32" s="8" customFormat="1" ht="31.5" customHeight="1">
      <c r="A51" s="288" t="s">
        <v>100</v>
      </c>
      <c r="B51" s="218">
        <f t="shared" ref="B51:R51" si="14">B50+B36+B26+B20+B13+B9</f>
        <v>0</v>
      </c>
      <c r="C51" s="337">
        <f t="shared" si="14"/>
        <v>0</v>
      </c>
      <c r="D51" s="218">
        <f t="shared" si="14"/>
        <v>0</v>
      </c>
      <c r="E51" s="337">
        <f t="shared" si="14"/>
        <v>0</v>
      </c>
      <c r="F51" s="218">
        <f t="shared" si="14"/>
        <v>0</v>
      </c>
      <c r="G51" s="337">
        <f t="shared" si="14"/>
        <v>0</v>
      </c>
      <c r="H51" s="218">
        <f t="shared" si="14"/>
        <v>0</v>
      </c>
      <c r="I51" s="337">
        <f t="shared" si="14"/>
        <v>0</v>
      </c>
      <c r="J51" s="218">
        <f t="shared" si="14"/>
        <v>0</v>
      </c>
      <c r="K51" s="337">
        <f t="shared" si="14"/>
        <v>0</v>
      </c>
      <c r="L51" s="218">
        <f t="shared" si="14"/>
        <v>0</v>
      </c>
      <c r="M51" s="337">
        <f t="shared" si="14"/>
        <v>0</v>
      </c>
      <c r="N51" s="218">
        <f t="shared" si="14"/>
        <v>0</v>
      </c>
      <c r="O51" s="352">
        <f t="shared" si="14"/>
        <v>0</v>
      </c>
      <c r="P51" s="376">
        <f t="shared" si="14"/>
        <v>0</v>
      </c>
      <c r="Q51" s="352">
        <f t="shared" si="14"/>
        <v>0</v>
      </c>
      <c r="R51" s="218">
        <f t="shared" si="14"/>
        <v>0</v>
      </c>
      <c r="S51" s="442">
        <f>S9+S13+S26+S36+S50</f>
        <v>0</v>
      </c>
      <c r="T51" s="218">
        <f t="shared" ref="T51:Y51" si="15">T50+T36+T26+T20+T13+T9</f>
        <v>0</v>
      </c>
      <c r="U51" s="352">
        <f t="shared" si="15"/>
        <v>0</v>
      </c>
      <c r="V51" s="218">
        <f t="shared" si="15"/>
        <v>0</v>
      </c>
      <c r="W51" s="352">
        <f t="shared" si="15"/>
        <v>0</v>
      </c>
      <c r="X51" s="218">
        <f t="shared" si="15"/>
        <v>0</v>
      </c>
      <c r="Y51" s="352">
        <f t="shared" si="15"/>
        <v>0</v>
      </c>
      <c r="Z51" s="218">
        <f>+B51+D51+F51+H51+J51+L51+N51+P51+R51+T51+V51+X51</f>
        <v>0</v>
      </c>
      <c r="AA51" s="352">
        <f>C51+E51+G51+I51+K51+M51+O51+Q51+S51+U51+W51+Y51</f>
        <v>0</v>
      </c>
      <c r="AB51" s="18"/>
      <c r="AC51" s="23"/>
    </row>
    <row r="52" spans="1:32" s="24" customFormat="1" ht="31.5" customHeight="1">
      <c r="A52" s="289" t="s">
        <v>101</v>
      </c>
      <c r="B52" s="892">
        <f>+B51+(C51*C55)</f>
        <v>0</v>
      </c>
      <c r="C52" s="893"/>
      <c r="D52" s="894">
        <f>D51+(E51*E55)</f>
        <v>0</v>
      </c>
      <c r="E52" s="895"/>
      <c r="F52" s="896">
        <f>F51+(G51*G55)</f>
        <v>0</v>
      </c>
      <c r="G52" s="895"/>
      <c r="H52" s="896">
        <f>H51+(I51*I55)</f>
        <v>0</v>
      </c>
      <c r="I52" s="895"/>
      <c r="J52" s="896">
        <f>J51+(K51*K55)</f>
        <v>0</v>
      </c>
      <c r="K52" s="895"/>
      <c r="L52" s="896">
        <f>L51+(M51*M55)</f>
        <v>0</v>
      </c>
      <c r="M52" s="897"/>
      <c r="N52" s="885">
        <f>N51+(O51*O55)</f>
        <v>0</v>
      </c>
      <c r="O52" s="886"/>
      <c r="P52" s="885">
        <f>P51+(Q51*Q55)</f>
        <v>0</v>
      </c>
      <c r="Q52" s="886"/>
      <c r="R52" s="885">
        <f>R51+(S51*S55)</f>
        <v>0</v>
      </c>
      <c r="S52" s="886"/>
      <c r="T52" s="885">
        <f>T51+(U51*U55)</f>
        <v>0</v>
      </c>
      <c r="U52" s="886"/>
      <c r="V52" s="885">
        <f>V51+(W51*W55)</f>
        <v>0</v>
      </c>
      <c r="W52" s="886"/>
      <c r="X52" s="885">
        <f>X51+(Y51*Y55)</f>
        <v>0</v>
      </c>
      <c r="Y52" s="886"/>
      <c r="Z52" s="885">
        <f>Z51+(AA51*AA55)</f>
        <v>0</v>
      </c>
      <c r="AA52" s="886"/>
      <c r="AB52" s="25">
        <f>Z52/AA55</f>
        <v>0</v>
      </c>
      <c r="AC52" s="23"/>
      <c r="AD52" s="8"/>
      <c r="AE52" s="8"/>
      <c r="AF52" s="8"/>
    </row>
    <row r="53" spans="1:32" s="8" customFormat="1" ht="27.75" customHeight="1">
      <c r="B53" s="57"/>
      <c r="C53" s="72">
        <f>(B51/C55)+C51</f>
        <v>0</v>
      </c>
      <c r="D53" s="57"/>
      <c r="E53" s="57">
        <f>(D51/E55)+E51</f>
        <v>0</v>
      </c>
      <c r="F53" s="57"/>
      <c r="G53" s="57">
        <f>(F51/G55)+G51</f>
        <v>0</v>
      </c>
      <c r="H53" s="57"/>
      <c r="I53" s="57">
        <f>(H51/I55)+I51</f>
        <v>0</v>
      </c>
      <c r="J53" s="57"/>
      <c r="K53" s="57">
        <f>(J51/K55)+K51</f>
        <v>0</v>
      </c>
      <c r="L53" s="57"/>
      <c r="M53" s="57">
        <f>(L51/M55)+M51</f>
        <v>0</v>
      </c>
      <c r="N53" s="57"/>
      <c r="O53" s="57">
        <f>(N51/O55)+O51</f>
        <v>0</v>
      </c>
      <c r="P53" s="57"/>
      <c r="Q53" s="57">
        <f>(P51/Q55)+Q51</f>
        <v>0</v>
      </c>
      <c r="R53" s="57"/>
      <c r="S53" s="57">
        <f>(R51/S55)+S51</f>
        <v>0</v>
      </c>
      <c r="T53" s="57"/>
      <c r="U53" s="57">
        <f>+(T51/U55)+U51</f>
        <v>0</v>
      </c>
      <c r="V53" s="57"/>
      <c r="W53" s="57">
        <f>+(V51/W55)+W51</f>
        <v>0</v>
      </c>
      <c r="X53" s="57"/>
      <c r="Y53" s="57">
        <f>+(X51/Y55)+Y51</f>
        <v>0</v>
      </c>
      <c r="Z53" s="884"/>
      <c r="AA53" s="884"/>
      <c r="AB53" s="334">
        <f>SUM(B53:Q53)</f>
        <v>0</v>
      </c>
      <c r="AC53" s="705"/>
    </row>
    <row r="54" spans="1:32" s="8" customFormat="1">
      <c r="B54" s="20"/>
      <c r="C54" s="22" t="s">
        <v>102</v>
      </c>
      <c r="E54" s="21" t="s">
        <v>102</v>
      </c>
      <c r="G54" s="21" t="s">
        <v>102</v>
      </c>
      <c r="I54" s="21" t="s">
        <v>102</v>
      </c>
      <c r="K54" s="21" t="s">
        <v>102</v>
      </c>
      <c r="L54" s="58"/>
      <c r="M54" s="19" t="s">
        <v>102</v>
      </c>
      <c r="N54" s="18"/>
      <c r="O54" s="19" t="s">
        <v>102</v>
      </c>
      <c r="P54" s="18"/>
      <c r="Q54" s="19" t="s">
        <v>102</v>
      </c>
      <c r="R54" s="18"/>
      <c r="S54" s="19" t="s">
        <v>102</v>
      </c>
      <c r="T54" s="18"/>
      <c r="U54" s="19" t="s">
        <v>102</v>
      </c>
      <c r="V54" s="18"/>
      <c r="W54" s="19" t="s">
        <v>102</v>
      </c>
      <c r="X54" s="18"/>
      <c r="Y54" s="19" t="s">
        <v>102</v>
      </c>
      <c r="AA54" s="22" t="s">
        <v>102</v>
      </c>
      <c r="AC54" s="705"/>
    </row>
    <row r="55" spans="1:32" s="8" customFormat="1">
      <c r="B55" s="20"/>
      <c r="C55" s="19">
        <v>60</v>
      </c>
      <c r="E55" s="19">
        <v>60</v>
      </c>
      <c r="G55" s="19">
        <v>60</v>
      </c>
      <c r="I55" s="19">
        <v>60</v>
      </c>
      <c r="K55" s="19">
        <v>60</v>
      </c>
      <c r="L55" s="58"/>
      <c r="M55" s="19">
        <v>60</v>
      </c>
      <c r="N55" s="18"/>
      <c r="O55" s="19">
        <v>60</v>
      </c>
      <c r="P55" s="18"/>
      <c r="Q55" s="19">
        <v>60</v>
      </c>
      <c r="R55" s="18"/>
      <c r="S55" s="19">
        <v>60</v>
      </c>
      <c r="T55" s="18"/>
      <c r="U55" s="522">
        <v>60</v>
      </c>
      <c r="V55" s="18"/>
      <c r="W55" s="522">
        <v>60</v>
      </c>
      <c r="X55" s="18"/>
      <c r="Y55" s="522">
        <v>60</v>
      </c>
      <c r="AA55" s="796">
        <v>60</v>
      </c>
      <c r="AC55" s="705"/>
    </row>
    <row r="56" spans="1:32" s="8" customFormat="1">
      <c r="A56" s="17"/>
      <c r="B56" s="16"/>
      <c r="C56" s="59"/>
      <c r="D56" s="15"/>
      <c r="E56" s="15"/>
      <c r="F56" s="15"/>
      <c r="G56" s="15"/>
      <c r="H56" s="15"/>
      <c r="I56" s="15"/>
      <c r="J56" s="15"/>
      <c r="K56" s="15"/>
      <c r="L56" s="60"/>
      <c r="M56" s="12"/>
      <c r="N56" s="13"/>
      <c r="O56" s="12"/>
      <c r="P56" s="13"/>
      <c r="Q56" s="12"/>
      <c r="R56" s="13"/>
      <c r="S56" s="12"/>
      <c r="T56" s="13"/>
      <c r="U56" s="12"/>
      <c r="V56" s="13"/>
      <c r="W56" s="14"/>
      <c r="X56" s="13"/>
      <c r="Y56" s="12"/>
      <c r="AA56" s="716"/>
      <c r="AC56" s="705"/>
    </row>
    <row r="57" spans="1:32" s="8" customFormat="1">
      <c r="A57" s="4"/>
      <c r="B57" s="4"/>
      <c r="C57" s="4"/>
      <c r="D57" s="4"/>
      <c r="E57" s="4"/>
      <c r="F57" s="4"/>
      <c r="G57" s="4"/>
      <c r="H57" s="61"/>
      <c r="I57" s="2"/>
      <c r="J57" s="3"/>
      <c r="K57" s="2"/>
      <c r="L57" s="3"/>
      <c r="M57" s="2"/>
      <c r="N57" s="3"/>
      <c r="O57" s="2"/>
      <c r="P57" s="3"/>
      <c r="Q57" s="2"/>
      <c r="R57" s="3"/>
      <c r="S57" s="2"/>
      <c r="T57" s="3"/>
      <c r="U57" s="2"/>
      <c r="V57"/>
      <c r="W57" s="62"/>
      <c r="X57"/>
      <c r="Y57" s="12"/>
      <c r="AA57" s="716"/>
      <c r="AC57" s="10"/>
    </row>
    <row r="58" spans="1:32" s="8" customFormat="1">
      <c r="A58" s="4"/>
      <c r="B58" s="4"/>
      <c r="C58" s="4"/>
      <c r="D58" s="4"/>
      <c r="E58" s="4"/>
      <c r="F58" s="4"/>
      <c r="G58" s="4"/>
      <c r="H58" s="61"/>
      <c r="I58" s="2"/>
      <c r="J58" s="3"/>
      <c r="K58" s="2"/>
      <c r="L58" s="3"/>
      <c r="M58" s="2"/>
      <c r="N58" s="3"/>
      <c r="O58" s="2"/>
      <c r="P58" s="3"/>
      <c r="Q58" s="2"/>
      <c r="R58" s="3"/>
      <c r="S58" s="2"/>
      <c r="T58" s="3"/>
      <c r="U58" s="2"/>
      <c r="V58"/>
      <c r="W58" s="11"/>
      <c r="X58"/>
      <c r="AA58" s="716"/>
      <c r="AC58" s="10"/>
    </row>
    <row r="59" spans="1:32" s="8" customFormat="1">
      <c r="A59" s="4"/>
      <c r="B59" s="4"/>
      <c r="C59" s="4"/>
      <c r="D59" s="4"/>
      <c r="E59" s="4"/>
      <c r="F59" s="4"/>
      <c r="G59" s="4"/>
      <c r="H59" s="61"/>
      <c r="I59" s="2"/>
      <c r="J59" s="3"/>
      <c r="K59" s="2"/>
      <c r="L59" s="3"/>
      <c r="M59" s="2"/>
      <c r="N59" s="3"/>
      <c r="O59" s="2"/>
      <c r="P59" s="3"/>
      <c r="Q59" s="2"/>
      <c r="R59" s="3"/>
      <c r="S59" s="2"/>
      <c r="T59" s="3"/>
      <c r="U59" s="2"/>
      <c r="V59"/>
      <c r="W59"/>
      <c r="X59"/>
      <c r="AA59" s="716"/>
      <c r="AC59" s="10"/>
    </row>
    <row r="60" spans="1:32" s="8" customFormat="1" ht="21">
      <c r="A60" s="4"/>
      <c r="B60" s="4"/>
      <c r="C60" s="4"/>
      <c r="D60" s="4"/>
      <c r="E60" s="4"/>
      <c r="F60" s="4"/>
      <c r="G60" s="4"/>
      <c r="H60" s="61"/>
      <c r="I60" s="2"/>
      <c r="J60" s="3"/>
      <c r="K60" s="2"/>
      <c r="L60" s="3"/>
      <c r="M60" s="2"/>
      <c r="N60" s="3"/>
      <c r="O60" s="2"/>
      <c r="P60" s="3"/>
      <c r="Q60" s="2"/>
      <c r="R60" s="3"/>
      <c r="S60" s="2"/>
      <c r="T60" s="3"/>
      <c r="U60" s="2"/>
      <c r="V60"/>
      <c r="W60"/>
      <c r="X60"/>
      <c r="AA60" s="716"/>
      <c r="AC60" s="9"/>
      <c r="AD60" s="7"/>
    </row>
    <row r="61" spans="1:32" s="8" customFormat="1" ht="21">
      <c r="A61" s="4"/>
      <c r="B61" s="4"/>
      <c r="C61" s="4"/>
      <c r="D61" s="4"/>
      <c r="E61" s="4"/>
      <c r="F61" s="4"/>
      <c r="G61" s="4"/>
      <c r="H61" s="61"/>
      <c r="I61" s="2"/>
      <c r="J61" s="3"/>
      <c r="K61" s="2"/>
      <c r="L61" s="3"/>
      <c r="M61" s="2"/>
      <c r="N61" s="3"/>
      <c r="O61" s="2"/>
      <c r="P61" s="3"/>
      <c r="Q61" s="2"/>
      <c r="R61" s="3"/>
      <c r="S61" s="2"/>
      <c r="T61" s="3"/>
      <c r="U61" s="2"/>
      <c r="V61"/>
      <c r="W61"/>
      <c r="X61"/>
      <c r="AA61" s="716"/>
      <c r="AC61" s="1"/>
      <c r="AD61"/>
      <c r="AE61" s="7"/>
      <c r="AF61" s="7"/>
    </row>
    <row r="62" spans="1:32" s="8" customFormat="1">
      <c r="A62" s="4"/>
      <c r="B62" s="4"/>
      <c r="C62" s="4"/>
      <c r="D62" s="4"/>
      <c r="E62" s="4"/>
      <c r="F62" s="4"/>
      <c r="G62" s="4"/>
      <c r="H62" s="61"/>
      <c r="I62" s="2"/>
      <c r="J62" s="3"/>
      <c r="K62" s="2"/>
      <c r="L62" s="3"/>
      <c r="M62" s="2"/>
      <c r="N62" s="3"/>
      <c r="O62" s="2"/>
      <c r="P62" s="3"/>
      <c r="Q62" s="2"/>
      <c r="R62" s="3"/>
      <c r="S62" s="2"/>
      <c r="T62" s="3"/>
      <c r="U62" s="2"/>
      <c r="V62"/>
      <c r="W62"/>
      <c r="X62"/>
      <c r="AA62" s="716"/>
      <c r="AC62" s="1"/>
      <c r="AD62"/>
      <c r="AE62"/>
      <c r="AF62"/>
    </row>
    <row r="63" spans="1:32" s="8" customFormat="1">
      <c r="A63" s="4"/>
      <c r="B63" s="4"/>
      <c r="C63" s="4"/>
      <c r="D63" s="4"/>
      <c r="E63" s="4"/>
      <c r="F63" s="4"/>
      <c r="G63" s="4"/>
      <c r="H63" s="61"/>
      <c r="I63" s="2"/>
      <c r="J63" s="3"/>
      <c r="K63" s="2"/>
      <c r="L63" s="3"/>
      <c r="M63" s="2"/>
      <c r="N63" s="3"/>
      <c r="O63" s="2"/>
      <c r="P63" s="3"/>
      <c r="Q63" s="2"/>
      <c r="R63" s="3"/>
      <c r="S63" s="2"/>
      <c r="U63" s="2"/>
      <c r="V63"/>
      <c r="W63"/>
      <c r="X63"/>
      <c r="AA63" s="716"/>
      <c r="AC63" s="1"/>
      <c r="AD63"/>
      <c r="AE63"/>
      <c r="AF63"/>
    </row>
    <row r="64" spans="1:32" s="8" customFormat="1">
      <c r="A64" s="4"/>
      <c r="B64" s="4"/>
      <c r="C64" s="4"/>
      <c r="D64" s="4"/>
      <c r="E64" s="4"/>
      <c r="F64" s="4"/>
      <c r="G64" s="4"/>
      <c r="H64" s="61"/>
      <c r="I64" s="2"/>
      <c r="J64" s="3"/>
      <c r="K64" s="2"/>
      <c r="L64" s="3"/>
      <c r="M64" s="2"/>
      <c r="N64" s="3"/>
      <c r="O64" s="2"/>
      <c r="P64" s="3"/>
      <c r="Q64" s="2"/>
      <c r="R64" s="3"/>
      <c r="S64" s="2"/>
      <c r="T64" s="3"/>
      <c r="U64" s="2"/>
      <c r="V64"/>
      <c r="W64"/>
      <c r="X64"/>
      <c r="AA64" s="716"/>
      <c r="AC64" s="1"/>
      <c r="AD64"/>
      <c r="AE64"/>
      <c r="AF64"/>
    </row>
    <row r="65" spans="1:32" s="8" customFormat="1">
      <c r="A65" s="4"/>
      <c r="B65" s="4"/>
      <c r="C65" s="4"/>
      <c r="D65" s="4"/>
      <c r="E65" s="4"/>
      <c r="F65" s="4"/>
      <c r="G65" s="4"/>
      <c r="H65" s="61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/>
      <c r="W65"/>
      <c r="X65"/>
      <c r="AA65" s="716"/>
      <c r="AC65" s="1"/>
      <c r="AD65"/>
      <c r="AE65"/>
      <c r="AF65"/>
    </row>
    <row r="66" spans="1:32" s="8" customFormat="1">
      <c r="A66" s="4"/>
      <c r="B66" s="4"/>
      <c r="C66" s="4"/>
      <c r="D66" s="4"/>
      <c r="E66" s="4"/>
      <c r="F66" s="4"/>
      <c r="G66" s="4"/>
      <c r="H66" s="61"/>
      <c r="I66" s="2"/>
      <c r="J66" s="3"/>
      <c r="K66" s="2"/>
      <c r="L66" s="3"/>
      <c r="M66" s="2"/>
      <c r="N66" s="3"/>
      <c r="O66" s="2"/>
      <c r="P66" s="3"/>
      <c r="Q66" s="2"/>
      <c r="R66" s="3"/>
      <c r="S66" s="2"/>
      <c r="T66" s="3"/>
      <c r="U66" s="2"/>
      <c r="V66"/>
      <c r="W66"/>
      <c r="X66"/>
      <c r="AA66" s="716"/>
      <c r="AC66" s="1"/>
      <c r="AD66"/>
      <c r="AE66"/>
      <c r="AF66"/>
    </row>
    <row r="67" spans="1:32" s="8" customFormat="1">
      <c r="A67" s="4"/>
      <c r="B67" s="4"/>
      <c r="C67" s="4"/>
      <c r="D67" s="4"/>
      <c r="E67" s="4"/>
      <c r="F67" s="4"/>
      <c r="G67" s="4"/>
      <c r="H67" s="61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/>
      <c r="W67"/>
      <c r="X67"/>
      <c r="AA67" s="716"/>
      <c r="AC67" s="1"/>
      <c r="AD67"/>
      <c r="AE67"/>
      <c r="AF67"/>
    </row>
    <row r="68" spans="1:32" s="8" customFormat="1">
      <c r="A68" s="4"/>
      <c r="B68" s="4"/>
      <c r="C68" s="4"/>
      <c r="D68" s="4"/>
      <c r="E68" s="4"/>
      <c r="F68" s="4"/>
      <c r="G68" s="4"/>
      <c r="H68" s="61"/>
      <c r="I68" s="2"/>
      <c r="J68" s="3"/>
      <c r="K68" s="2"/>
      <c r="L68" s="3"/>
      <c r="M68" s="2"/>
      <c r="N68" s="3"/>
      <c r="O68" s="2"/>
      <c r="P68" s="3"/>
      <c r="Q68" s="2"/>
      <c r="R68" s="3"/>
      <c r="S68" s="2"/>
      <c r="T68" s="3"/>
      <c r="U68" s="2"/>
      <c r="V68"/>
      <c r="W68"/>
      <c r="X68"/>
      <c r="AA68" s="716"/>
      <c r="AC68" s="1"/>
      <c r="AD68"/>
      <c r="AE68"/>
      <c r="AF68"/>
    </row>
    <row r="69" spans="1:32" s="8" customFormat="1">
      <c r="A69" s="4"/>
      <c r="B69" s="4"/>
      <c r="C69" s="4"/>
      <c r="D69" s="4"/>
      <c r="E69" s="4"/>
      <c r="F69" s="4"/>
      <c r="G69" s="4"/>
      <c r="H69" s="61"/>
      <c r="I69" s="2"/>
      <c r="J69" s="3"/>
      <c r="K69" s="2"/>
      <c r="L69" s="3"/>
      <c r="M69" s="2"/>
      <c r="N69" s="3"/>
      <c r="O69" s="2"/>
      <c r="P69" s="3"/>
      <c r="Q69" s="2"/>
      <c r="R69" s="3"/>
      <c r="S69" s="2"/>
      <c r="T69" s="3"/>
      <c r="U69" s="2"/>
      <c r="V69"/>
      <c r="W69"/>
      <c r="X69"/>
      <c r="AA69" s="716"/>
      <c r="AC69" s="1"/>
      <c r="AD69"/>
      <c r="AE69"/>
      <c r="AF69"/>
    </row>
    <row r="70" spans="1:32" s="7" customFormat="1" ht="21">
      <c r="A70" s="6"/>
      <c r="B70" s="5"/>
      <c r="C70" s="63"/>
      <c r="D70" s="4"/>
      <c r="AA70" s="717"/>
      <c r="AC70" s="1"/>
      <c r="AD70"/>
      <c r="AE70"/>
      <c r="AF70"/>
    </row>
    <row r="99" spans="17:17"/>
    <row r="147" spans="8:8">
      <c r="H147" s="4">
        <f>'2026'!R43</f>
        <v>0</v>
      </c>
    </row>
  </sheetData>
  <mergeCells count="29">
    <mergeCell ref="L1:M1"/>
    <mergeCell ref="B1:C1"/>
    <mergeCell ref="D1:E1"/>
    <mergeCell ref="F1:G1"/>
    <mergeCell ref="H1:I1"/>
    <mergeCell ref="J1:K1"/>
    <mergeCell ref="Z1:AA1"/>
    <mergeCell ref="AC2:AD2"/>
    <mergeCell ref="AB11:AB12"/>
    <mergeCell ref="B52:C52"/>
    <mergeCell ref="D52:E52"/>
    <mergeCell ref="F52:G52"/>
    <mergeCell ref="H52:I52"/>
    <mergeCell ref="J52:K52"/>
    <mergeCell ref="L52:M52"/>
    <mergeCell ref="N52:O52"/>
    <mergeCell ref="N1:O1"/>
    <mergeCell ref="P1:Q1"/>
    <mergeCell ref="R1:S1"/>
    <mergeCell ref="T1:U1"/>
    <mergeCell ref="V1:W1"/>
    <mergeCell ref="X1:Y1"/>
    <mergeCell ref="Z53:AA53"/>
    <mergeCell ref="P52:Q52"/>
    <mergeCell ref="R52:S52"/>
    <mergeCell ref="T52:U52"/>
    <mergeCell ref="V52:W52"/>
    <mergeCell ref="X52:Y52"/>
    <mergeCell ref="Z52:AA52"/>
  </mergeCells>
  <pageMargins left="0.23622047244094491" right="0.23622047244094491" top="0.74803149606299213" bottom="0.74803149606299213" header="0.31496062992125984" footer="0.31496062992125984"/>
  <pageSetup paperSize="5" scale="65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T308"/>
  <sheetViews>
    <sheetView workbookViewId="0">
      <selection activeCell="H25" sqref="H25"/>
    </sheetView>
  </sheetViews>
  <sheetFormatPr baseColWidth="10" defaultColWidth="11.42578125" defaultRowHeight="15"/>
  <cols>
    <col min="1" max="1" width="12.42578125" style="6" customWidth="1"/>
    <col min="2" max="2" width="45.42578125" style="6" bestFit="1" customWidth="1"/>
    <col min="3" max="3" width="16.42578125" style="6" customWidth="1"/>
    <col min="4" max="4" width="14.42578125" style="6" bestFit="1" customWidth="1"/>
    <col min="5" max="5" width="20" style="6" bestFit="1" customWidth="1"/>
    <col min="6" max="6" width="27" style="6" bestFit="1" customWidth="1"/>
    <col min="7" max="7" width="18.42578125" style="6" customWidth="1"/>
    <col min="8" max="8" width="14.140625" style="6" customWidth="1"/>
    <col min="9" max="9" width="14.42578125" customWidth="1"/>
    <col min="10" max="10" width="15" customWidth="1"/>
    <col min="11" max="11" width="16.42578125" customWidth="1"/>
  </cols>
  <sheetData>
    <row r="2" spans="1:8">
      <c r="A2" s="377" t="s">
        <v>105</v>
      </c>
      <c r="G2" s="378" t="s">
        <v>106</v>
      </c>
      <c r="H2" s="379" t="s">
        <v>107</v>
      </c>
    </row>
    <row r="3" spans="1:8">
      <c r="A3" s="380" t="s">
        <v>108</v>
      </c>
      <c r="B3" s="380" t="s">
        <v>109</v>
      </c>
      <c r="C3" s="381" t="s">
        <v>107</v>
      </c>
      <c r="D3" s="382" t="s">
        <v>110</v>
      </c>
      <c r="E3" s="383" t="s">
        <v>111</v>
      </c>
      <c r="G3" s="384" t="s">
        <v>112</v>
      </c>
      <c r="H3" s="568">
        <f>C5+C6+C8+C9+C10+C17+C18+C22+C24+C26+C29+C32+C33+C38+C39+C40+C46+C53+C57+C87+C93+C96+C99+C100+C103+C106+C109+C116</f>
        <v>72447.7</v>
      </c>
    </row>
    <row r="4" spans="1:8">
      <c r="A4" s="691">
        <v>45978</v>
      </c>
      <c r="B4" s="440" t="s">
        <v>113</v>
      </c>
      <c r="C4" s="787">
        <v>75</v>
      </c>
      <c r="D4" s="787"/>
      <c r="E4" s="780"/>
      <c r="G4" s="387" t="s">
        <v>18</v>
      </c>
      <c r="H4" s="567">
        <f>C84+C28+C47+C90+C97+C102+C108+C110+C111+C114</f>
        <v>32225</v>
      </c>
    </row>
    <row r="5" spans="1:8">
      <c r="A5" s="549">
        <v>45979</v>
      </c>
      <c r="B5" s="784" t="s">
        <v>114</v>
      </c>
      <c r="C5" s="785">
        <v>1053.4000000000001</v>
      </c>
      <c r="D5" s="797"/>
      <c r="E5" s="798"/>
      <c r="G5" s="388" t="s">
        <v>21</v>
      </c>
      <c r="H5" s="566">
        <f>C159</f>
        <v>5103.5</v>
      </c>
    </row>
    <row r="6" spans="1:8">
      <c r="A6" s="549">
        <v>45979</v>
      </c>
      <c r="B6" s="784" t="s">
        <v>115</v>
      </c>
      <c r="C6" s="788">
        <v>650</v>
      </c>
      <c r="D6" s="797"/>
      <c r="E6" s="798"/>
      <c r="G6" s="389" t="s">
        <v>116</v>
      </c>
      <c r="H6" s="564">
        <v>0</v>
      </c>
    </row>
    <row r="7" spans="1:8">
      <c r="A7" s="691">
        <v>45980</v>
      </c>
      <c r="B7" s="440" t="s">
        <v>113</v>
      </c>
      <c r="C7" s="799">
        <v>30</v>
      </c>
      <c r="D7" s="797"/>
      <c r="E7" s="798"/>
      <c r="G7" s="391" t="s">
        <v>22</v>
      </c>
      <c r="H7" s="565">
        <f>C143+C151</f>
        <v>1644</v>
      </c>
    </row>
    <row r="8" spans="1:8">
      <c r="A8" s="549">
        <v>45980</v>
      </c>
      <c r="B8" s="784" t="s">
        <v>117</v>
      </c>
      <c r="C8" s="785">
        <v>8938.5</v>
      </c>
      <c r="D8" s="797"/>
      <c r="E8" s="798"/>
      <c r="G8" s="434" t="s">
        <v>118</v>
      </c>
      <c r="H8" s="872">
        <v>0</v>
      </c>
    </row>
    <row r="9" spans="1:8">
      <c r="A9" s="549">
        <v>45980</v>
      </c>
      <c r="B9" s="784" t="s">
        <v>119</v>
      </c>
      <c r="C9" s="785">
        <v>1156.4000000000001</v>
      </c>
      <c r="D9" s="797"/>
      <c r="E9" s="798"/>
      <c r="G9" s="392"/>
      <c r="H9" s="393"/>
    </row>
    <row r="10" spans="1:8">
      <c r="A10" s="549">
        <v>45981</v>
      </c>
      <c r="B10" s="784" t="s">
        <v>120</v>
      </c>
      <c r="C10" s="785">
        <v>680</v>
      </c>
      <c r="D10" s="797"/>
      <c r="E10" s="798"/>
      <c r="G10" s="392"/>
      <c r="H10" s="393"/>
    </row>
    <row r="11" spans="1:8">
      <c r="A11" s="800">
        <v>45982</v>
      </c>
      <c r="B11" s="435" t="s">
        <v>121</v>
      </c>
      <c r="C11" s="801">
        <v>5750.89</v>
      </c>
      <c r="D11" s="797"/>
      <c r="E11" s="798"/>
      <c r="G11" s="392"/>
      <c r="H11" s="393"/>
    </row>
    <row r="12" spans="1:8">
      <c r="A12" s="691">
        <v>45986</v>
      </c>
      <c r="B12" s="440" t="s">
        <v>122</v>
      </c>
      <c r="C12" s="799">
        <v>73662.179999999993</v>
      </c>
      <c r="D12" s="797"/>
      <c r="E12" s="798"/>
      <c r="F12" s="6" t="s">
        <v>123</v>
      </c>
      <c r="G12" s="392"/>
      <c r="H12" s="393"/>
    </row>
    <row r="13" spans="1:8">
      <c r="A13" s="691">
        <v>45986</v>
      </c>
      <c r="B13" s="440" t="s">
        <v>122</v>
      </c>
      <c r="C13" s="797">
        <v>57006.87</v>
      </c>
      <c r="D13" s="797"/>
      <c r="E13" s="798"/>
      <c r="F13" s="6" t="s">
        <v>123</v>
      </c>
      <c r="G13" s="392"/>
      <c r="H13" s="393"/>
    </row>
    <row r="14" spans="1:8">
      <c r="A14" s="600">
        <v>45989</v>
      </c>
      <c r="B14" s="436" t="s">
        <v>124</v>
      </c>
      <c r="C14" s="803">
        <v>75</v>
      </c>
      <c r="D14" s="782"/>
      <c r="E14" s="804"/>
      <c r="F14" s="911" t="s">
        <v>125</v>
      </c>
      <c r="G14" s="392"/>
      <c r="H14" s="393"/>
    </row>
    <row r="15" spans="1:8">
      <c r="A15" s="600">
        <v>45990</v>
      </c>
      <c r="B15" s="436" t="s">
        <v>126</v>
      </c>
      <c r="C15" s="803">
        <v>961</v>
      </c>
      <c r="D15" s="803"/>
      <c r="E15" s="804"/>
      <c r="F15" s="911"/>
      <c r="G15" s="392"/>
      <c r="H15" s="393"/>
    </row>
    <row r="16" spans="1:8">
      <c r="A16" s="598">
        <v>45990</v>
      </c>
      <c r="B16" s="372" t="s">
        <v>127</v>
      </c>
      <c r="C16" s="786">
        <v>13259.17</v>
      </c>
      <c r="D16" s="781"/>
      <c r="E16" s="786"/>
      <c r="F16" s="6" t="s">
        <v>128</v>
      </c>
      <c r="G16" s="392"/>
      <c r="H16" s="393"/>
    </row>
    <row r="17" spans="1:10">
      <c r="A17" s="549">
        <v>45990</v>
      </c>
      <c r="B17" s="784" t="s">
        <v>129</v>
      </c>
      <c r="C17" s="785">
        <v>1285.76</v>
      </c>
      <c r="D17" s="781"/>
      <c r="E17" s="390"/>
      <c r="G17" s="392"/>
      <c r="H17" s="393"/>
    </row>
    <row r="18" spans="1:10">
      <c r="A18" s="549">
        <v>45990</v>
      </c>
      <c r="B18" s="784" t="s">
        <v>130</v>
      </c>
      <c r="C18" s="785">
        <v>140</v>
      </c>
      <c r="D18" s="783"/>
      <c r="E18" s="390"/>
    </row>
    <row r="19" spans="1:10">
      <c r="A19" s="598">
        <v>45990</v>
      </c>
      <c r="B19" s="776" t="s">
        <v>131</v>
      </c>
      <c r="C19" s="802">
        <v>3000</v>
      </c>
      <c r="D19" s="781"/>
      <c r="E19" s="390"/>
    </row>
    <row r="20" spans="1:10">
      <c r="A20" s="598">
        <v>45990</v>
      </c>
      <c r="B20" s="372" t="s">
        <v>132</v>
      </c>
      <c r="C20" s="787"/>
      <c r="D20" s="781">
        <v>2349.15</v>
      </c>
      <c r="E20" s="390"/>
    </row>
    <row r="21" spans="1:10">
      <c r="A21" s="395">
        <v>45992</v>
      </c>
      <c r="B21" s="440" t="s">
        <v>124</v>
      </c>
      <c r="C21" s="787">
        <v>75</v>
      </c>
      <c r="D21" s="781"/>
      <c r="E21" s="390"/>
    </row>
    <row r="22" spans="1:10">
      <c r="A22" s="549">
        <v>45992</v>
      </c>
      <c r="B22" s="784" t="s">
        <v>129</v>
      </c>
      <c r="C22" s="785">
        <v>8538.24</v>
      </c>
      <c r="D22" s="781"/>
      <c r="E22" s="390"/>
      <c r="J22" s="47"/>
    </row>
    <row r="23" spans="1:10" ht="14.25" customHeight="1">
      <c r="A23" s="598">
        <v>45993</v>
      </c>
      <c r="B23" s="372" t="s">
        <v>124</v>
      </c>
      <c r="C23" s="802">
        <v>75</v>
      </c>
      <c r="D23" s="805"/>
      <c r="E23" s="390"/>
    </row>
    <row r="24" spans="1:10">
      <c r="A24" s="549">
        <v>45993</v>
      </c>
      <c r="B24" s="784" t="s">
        <v>133</v>
      </c>
      <c r="C24" s="785">
        <v>3145</v>
      </c>
      <c r="D24" s="805"/>
      <c r="E24" s="390"/>
    </row>
    <row r="25" spans="1:10">
      <c r="A25" s="598">
        <v>45993</v>
      </c>
      <c r="B25" s="372" t="s">
        <v>134</v>
      </c>
      <c r="C25" s="802">
        <v>395</v>
      </c>
      <c r="D25" s="805"/>
      <c r="E25" s="390"/>
    </row>
    <row r="26" spans="1:10">
      <c r="A26" s="549">
        <v>45994</v>
      </c>
      <c r="B26" s="784" t="s">
        <v>135</v>
      </c>
      <c r="C26" s="785">
        <v>986.8</v>
      </c>
      <c r="D26" s="783"/>
      <c r="E26" s="780"/>
    </row>
    <row r="27" spans="1:10">
      <c r="A27" s="598">
        <v>45995</v>
      </c>
      <c r="B27" s="372" t="s">
        <v>136</v>
      </c>
      <c r="C27" s="802"/>
      <c r="D27" s="783">
        <v>1288.45</v>
      </c>
      <c r="E27" s="390"/>
    </row>
    <row r="28" spans="1:10">
      <c r="A28" s="397">
        <v>45995</v>
      </c>
      <c r="B28" s="806" t="s">
        <v>137</v>
      </c>
      <c r="C28" s="807">
        <v>8305</v>
      </c>
      <c r="D28" s="790"/>
      <c r="E28" s="390"/>
    </row>
    <row r="29" spans="1:10">
      <c r="A29" s="549">
        <v>45995</v>
      </c>
      <c r="B29" s="784" t="s">
        <v>119</v>
      </c>
      <c r="C29" s="785">
        <v>944</v>
      </c>
      <c r="D29" s="783"/>
      <c r="E29" s="390"/>
    </row>
    <row r="30" spans="1:10">
      <c r="A30" s="598">
        <v>45996</v>
      </c>
      <c r="B30" s="372" t="s">
        <v>138</v>
      </c>
      <c r="C30" s="802">
        <v>2480</v>
      </c>
      <c r="D30" s="783"/>
      <c r="E30" s="390"/>
      <c r="F30" s="6" t="s">
        <v>139</v>
      </c>
    </row>
    <row r="31" spans="1:10">
      <c r="A31" s="598">
        <v>45996</v>
      </c>
      <c r="B31" s="372" t="s">
        <v>140</v>
      </c>
      <c r="C31" s="783">
        <v>1083.98</v>
      </c>
      <c r="D31" s="805"/>
      <c r="E31" s="390"/>
    </row>
    <row r="32" spans="1:10">
      <c r="A32" s="549">
        <v>45999</v>
      </c>
      <c r="B32" s="784" t="s">
        <v>141</v>
      </c>
      <c r="C32" s="785">
        <v>1815</v>
      </c>
      <c r="D32" s="805"/>
      <c r="E32" s="390"/>
    </row>
    <row r="33" spans="1:6">
      <c r="A33" s="549">
        <v>45999</v>
      </c>
      <c r="B33" s="784" t="s">
        <v>142</v>
      </c>
      <c r="C33" s="785">
        <v>3430</v>
      </c>
      <c r="D33" s="805"/>
      <c r="E33" s="390"/>
    </row>
    <row r="34" spans="1:6">
      <c r="A34" s="598">
        <v>45999</v>
      </c>
      <c r="B34" s="372" t="s">
        <v>124</v>
      </c>
      <c r="C34" s="783">
        <v>75</v>
      </c>
      <c r="D34" s="805"/>
      <c r="E34" s="390"/>
    </row>
    <row r="35" spans="1:6">
      <c r="A35" s="598">
        <v>46000</v>
      </c>
      <c r="B35" s="372" t="s">
        <v>127</v>
      </c>
      <c r="C35" s="802">
        <v>23401.45</v>
      </c>
      <c r="D35" s="805"/>
      <c r="E35" s="808"/>
      <c r="F35" s="6" t="s">
        <v>143</v>
      </c>
    </row>
    <row r="36" spans="1:6">
      <c r="A36" s="598">
        <v>46000</v>
      </c>
      <c r="B36" s="372" t="s">
        <v>127</v>
      </c>
      <c r="C36" s="783">
        <v>3751.65</v>
      </c>
      <c r="D36" s="805"/>
      <c r="E36" s="808"/>
      <c r="F36" s="6" t="s">
        <v>144</v>
      </c>
    </row>
    <row r="37" spans="1:6">
      <c r="A37" s="598">
        <v>46001</v>
      </c>
      <c r="B37" s="372" t="s">
        <v>145</v>
      </c>
      <c r="C37" s="783"/>
      <c r="D37" s="805"/>
      <c r="E37" s="783">
        <v>-174120.35</v>
      </c>
    </row>
    <row r="38" spans="1:6">
      <c r="A38" s="549">
        <v>46002</v>
      </c>
      <c r="B38" s="784" t="s">
        <v>119</v>
      </c>
      <c r="C38" s="785">
        <v>1038.4000000000001</v>
      </c>
      <c r="D38" s="805"/>
      <c r="E38" s="808"/>
    </row>
    <row r="39" spans="1:6">
      <c r="A39" s="549">
        <v>46003</v>
      </c>
      <c r="B39" s="784" t="s">
        <v>146</v>
      </c>
      <c r="C39" s="785">
        <v>2472</v>
      </c>
      <c r="D39" s="805"/>
      <c r="E39" s="808"/>
    </row>
    <row r="40" spans="1:6">
      <c r="A40" s="549">
        <v>46003</v>
      </c>
      <c r="B40" s="784" t="s">
        <v>147</v>
      </c>
      <c r="C40" s="785">
        <v>860</v>
      </c>
      <c r="D40" s="783"/>
      <c r="E40" s="808"/>
    </row>
    <row r="41" spans="1:6">
      <c r="A41" s="598">
        <v>46003</v>
      </c>
      <c r="B41" s="372" t="s">
        <v>148</v>
      </c>
      <c r="C41" s="802">
        <v>1888</v>
      </c>
      <c r="D41" s="783"/>
      <c r="E41" s="808"/>
    </row>
    <row r="42" spans="1:6">
      <c r="A42" s="598">
        <v>46004</v>
      </c>
      <c r="B42" s="372" t="s">
        <v>149</v>
      </c>
      <c r="C42" s="802">
        <v>589</v>
      </c>
      <c r="D42" s="802"/>
      <c r="E42" s="808"/>
    </row>
    <row r="43" spans="1:6">
      <c r="A43" s="598">
        <v>46004</v>
      </c>
      <c r="B43" s="372" t="s">
        <v>149</v>
      </c>
      <c r="C43" s="783">
        <v>480</v>
      </c>
      <c r="D43" s="802"/>
      <c r="E43" s="808"/>
    </row>
    <row r="44" spans="1:6">
      <c r="A44" s="598">
        <v>46004</v>
      </c>
      <c r="B44" s="372" t="s">
        <v>150</v>
      </c>
      <c r="C44" s="783">
        <v>395</v>
      </c>
      <c r="D44" s="802"/>
      <c r="E44" s="809"/>
    </row>
    <row r="45" spans="1:6">
      <c r="A45" s="598">
        <v>46004</v>
      </c>
      <c r="B45" s="372" t="s">
        <v>138</v>
      </c>
      <c r="C45" s="783">
        <v>620</v>
      </c>
      <c r="D45" s="802"/>
      <c r="E45" s="808"/>
      <c r="F45" s="6" t="s">
        <v>139</v>
      </c>
    </row>
    <row r="46" spans="1:6">
      <c r="A46" s="549">
        <v>46004</v>
      </c>
      <c r="B46" s="784" t="s">
        <v>151</v>
      </c>
      <c r="C46" s="785">
        <v>450</v>
      </c>
      <c r="D46" s="787"/>
      <c r="E46" s="791"/>
    </row>
    <row r="47" spans="1:6">
      <c r="A47" s="397">
        <v>46004</v>
      </c>
      <c r="B47" s="806" t="s">
        <v>137</v>
      </c>
      <c r="C47" s="790">
        <v>1375</v>
      </c>
      <c r="D47" s="787"/>
      <c r="E47" s="390"/>
    </row>
    <row r="48" spans="1:6">
      <c r="A48" s="598">
        <v>46006</v>
      </c>
      <c r="B48" s="372" t="s">
        <v>149</v>
      </c>
      <c r="C48" s="783">
        <v>288</v>
      </c>
      <c r="D48" s="802"/>
      <c r="E48" s="808"/>
    </row>
    <row r="49" spans="1:15">
      <c r="A49" s="598">
        <v>46006</v>
      </c>
      <c r="B49" s="372" t="s">
        <v>149</v>
      </c>
      <c r="C49" s="783">
        <v>109</v>
      </c>
      <c r="D49" s="802"/>
      <c r="E49" s="808"/>
    </row>
    <row r="50" spans="1:15">
      <c r="A50" s="598">
        <v>46006</v>
      </c>
      <c r="B50" s="372" t="s">
        <v>149</v>
      </c>
      <c r="C50" s="783">
        <v>200</v>
      </c>
      <c r="D50" s="802"/>
      <c r="E50" s="808"/>
    </row>
    <row r="51" spans="1:15">
      <c r="A51" s="598">
        <v>46006</v>
      </c>
      <c r="B51" s="372" t="s">
        <v>149</v>
      </c>
      <c r="C51" s="802">
        <v>236</v>
      </c>
      <c r="D51" s="783"/>
      <c r="E51" s="808"/>
    </row>
    <row r="52" spans="1:15">
      <c r="A52" s="598">
        <v>46006</v>
      </c>
      <c r="B52" s="372" t="s">
        <v>149</v>
      </c>
      <c r="C52" s="802">
        <v>250</v>
      </c>
      <c r="D52" s="802"/>
      <c r="E52" s="808"/>
    </row>
    <row r="53" spans="1:15">
      <c r="A53" s="549">
        <v>46006</v>
      </c>
      <c r="B53" s="784" t="s">
        <v>151</v>
      </c>
      <c r="C53" s="785">
        <v>450</v>
      </c>
      <c r="D53" s="783"/>
      <c r="E53" s="808"/>
    </row>
    <row r="54" spans="1:15">
      <c r="A54" s="598">
        <v>46006</v>
      </c>
      <c r="B54" s="372" t="s">
        <v>149</v>
      </c>
      <c r="C54" s="802">
        <v>327</v>
      </c>
      <c r="D54" s="783"/>
      <c r="E54" s="808"/>
    </row>
    <row r="55" spans="1:15">
      <c r="A55" s="598">
        <v>46006</v>
      </c>
      <c r="B55" s="372" t="s">
        <v>149</v>
      </c>
      <c r="C55" s="802">
        <v>497</v>
      </c>
      <c r="D55" s="783"/>
      <c r="E55" s="808"/>
    </row>
    <row r="56" spans="1:15">
      <c r="A56" s="598">
        <v>46006</v>
      </c>
      <c r="B56" s="372" t="s">
        <v>149</v>
      </c>
      <c r="C56" s="802">
        <v>108</v>
      </c>
      <c r="D56" s="783"/>
      <c r="E56" s="808"/>
    </row>
    <row r="57" spans="1:15">
      <c r="A57" s="549">
        <v>46006</v>
      </c>
      <c r="B57" s="784" t="s">
        <v>151</v>
      </c>
      <c r="C57" s="785">
        <v>900</v>
      </c>
      <c r="D57" s="802"/>
      <c r="E57" s="808"/>
    </row>
    <row r="58" spans="1:15">
      <c r="A58" s="677">
        <v>46006</v>
      </c>
      <c r="B58" s="436" t="s">
        <v>152</v>
      </c>
      <c r="C58" s="777">
        <v>4351.32</v>
      </c>
      <c r="D58" s="789"/>
      <c r="E58" s="792"/>
      <c r="F58" s="6" t="s">
        <v>153</v>
      </c>
    </row>
    <row r="59" spans="1:15">
      <c r="C59" s="541">
        <f>SUM(C4:C58)</f>
        <v>244109.01</v>
      </c>
      <c r="D59" s="541">
        <f>SUM(D4:D58)</f>
        <v>3637.6000000000004</v>
      </c>
      <c r="E59" s="398"/>
    </row>
    <row r="60" spans="1:15">
      <c r="C60" s="399"/>
      <c r="D60" s="400"/>
      <c r="E60" s="401">
        <f>+C59+D59</f>
        <v>247746.61000000002</v>
      </c>
    </row>
    <row r="61" spans="1:15" ht="15.75" thickBot="1">
      <c r="F61" s="406"/>
      <c r="G61" s="406"/>
      <c r="H61" s="406"/>
      <c r="I61" s="406"/>
      <c r="J61" s="406"/>
      <c r="K61" s="406"/>
      <c r="L61" s="406"/>
      <c r="M61" s="406"/>
      <c r="N61" s="406"/>
      <c r="O61" s="406"/>
    </row>
    <row r="62" spans="1:15">
      <c r="F62" s="406"/>
      <c r="G62" s="406"/>
      <c r="H62" s="406"/>
      <c r="I62" s="406"/>
      <c r="J62" s="406"/>
      <c r="K62" s="406"/>
      <c r="L62" s="406"/>
      <c r="M62" s="406"/>
      <c r="N62" s="406"/>
      <c r="O62" s="406"/>
    </row>
    <row r="63" spans="1:15">
      <c r="A63" s="377" t="s">
        <v>154</v>
      </c>
      <c r="E63"/>
      <c r="F63"/>
      <c r="G63"/>
      <c r="H63"/>
    </row>
    <row r="64" spans="1:15">
      <c r="A64" s="380" t="s">
        <v>108</v>
      </c>
      <c r="B64" s="380" t="s">
        <v>109</v>
      </c>
      <c r="C64" s="381" t="s">
        <v>107</v>
      </c>
      <c r="D64" s="383" t="s">
        <v>111</v>
      </c>
      <c r="E64"/>
      <c r="F64"/>
      <c r="G64"/>
      <c r="H64"/>
    </row>
    <row r="65" spans="1:15">
      <c r="A65" s="395">
        <v>46021</v>
      </c>
      <c r="B65" s="372" t="s">
        <v>155</v>
      </c>
      <c r="C65" s="429"/>
      <c r="D65" s="386">
        <v>-285</v>
      </c>
      <c r="E65"/>
      <c r="F65"/>
      <c r="G65"/>
      <c r="H65"/>
    </row>
    <row r="66" spans="1:15">
      <c r="A66" s="395">
        <v>46022</v>
      </c>
      <c r="B66" s="372" t="s">
        <v>156</v>
      </c>
      <c r="C66" s="429">
        <v>78</v>
      </c>
      <c r="D66" s="386"/>
      <c r="E66"/>
      <c r="F66"/>
      <c r="G66"/>
      <c r="H66"/>
    </row>
    <row r="67" spans="1:15">
      <c r="A67" s="395">
        <v>46022</v>
      </c>
      <c r="B67" s="372" t="s">
        <v>157</v>
      </c>
      <c r="C67" s="429">
        <v>228.1</v>
      </c>
      <c r="D67" s="386"/>
      <c r="E67"/>
      <c r="F67"/>
      <c r="G67"/>
      <c r="H67"/>
    </row>
    <row r="68" spans="1:15">
      <c r="A68" s="395">
        <v>46024</v>
      </c>
      <c r="B68" s="372" t="s">
        <v>158</v>
      </c>
      <c r="C68" s="429">
        <v>19.22</v>
      </c>
      <c r="D68" s="386"/>
      <c r="E68"/>
      <c r="F68"/>
      <c r="G68"/>
      <c r="H68"/>
    </row>
    <row r="69" spans="1:15">
      <c r="A69" s="395">
        <v>46032</v>
      </c>
      <c r="B69" s="372" t="s">
        <v>159</v>
      </c>
      <c r="C69" s="429">
        <v>57.38</v>
      </c>
      <c r="D69" s="386"/>
      <c r="E69"/>
      <c r="F69"/>
      <c r="G69"/>
      <c r="H69"/>
    </row>
    <row r="70" spans="1:15">
      <c r="A70" s="395">
        <v>46032</v>
      </c>
      <c r="B70" s="372" t="s">
        <v>160</v>
      </c>
      <c r="C70" s="429">
        <v>65.150000000000006</v>
      </c>
      <c r="D70" s="386"/>
      <c r="E70"/>
      <c r="F70"/>
      <c r="G70"/>
      <c r="H70"/>
    </row>
    <row r="71" spans="1:15">
      <c r="A71" s="395">
        <v>46032</v>
      </c>
      <c r="B71" s="372" t="s">
        <v>161</v>
      </c>
      <c r="C71" s="429">
        <v>20.399999999999999</v>
      </c>
      <c r="D71" s="386"/>
      <c r="E71"/>
      <c r="F71"/>
      <c r="G71"/>
      <c r="H71"/>
    </row>
    <row r="72" spans="1:15">
      <c r="A72" s="395">
        <v>46032</v>
      </c>
      <c r="B72" s="372" t="s">
        <v>162</v>
      </c>
      <c r="C72" s="429">
        <v>40.380000000000003</v>
      </c>
      <c r="D72" s="386"/>
      <c r="E72"/>
      <c r="F72"/>
      <c r="G72"/>
      <c r="H72"/>
    </row>
    <row r="73" spans="1:15">
      <c r="A73" s="395">
        <v>46032</v>
      </c>
      <c r="B73" s="372" t="s">
        <v>163</v>
      </c>
      <c r="C73" s="429">
        <v>24.37</v>
      </c>
      <c r="D73" s="386"/>
      <c r="E73"/>
      <c r="F73"/>
      <c r="G73"/>
      <c r="H73"/>
    </row>
    <row r="74" spans="1:15">
      <c r="A74" s="395">
        <v>46032</v>
      </c>
      <c r="B74" s="372" t="s">
        <v>164</v>
      </c>
      <c r="C74" s="429">
        <v>12.01</v>
      </c>
      <c r="D74" s="386"/>
      <c r="E74"/>
      <c r="F74"/>
      <c r="G74"/>
      <c r="H74"/>
    </row>
    <row r="75" spans="1:15">
      <c r="A75" s="395">
        <v>46033</v>
      </c>
      <c r="B75" s="372" t="s">
        <v>158</v>
      </c>
      <c r="C75" s="429">
        <v>17.079999999999998</v>
      </c>
      <c r="D75" s="386"/>
      <c r="E75"/>
      <c r="F75"/>
      <c r="G75"/>
      <c r="H75"/>
    </row>
    <row r="76" spans="1:15">
      <c r="A76" s="406"/>
      <c r="B76" s="430" t="s">
        <v>165</v>
      </c>
      <c r="C76" s="573">
        <f>SUM(C65:C75)</f>
        <v>562.09</v>
      </c>
      <c r="D76" s="406"/>
      <c r="E76"/>
      <c r="F76"/>
      <c r="G76"/>
      <c r="H76"/>
    </row>
    <row r="77" spans="1:15">
      <c r="A77" s="406"/>
      <c r="B77" s="430"/>
      <c r="C77" s="480"/>
      <c r="D77" s="406"/>
      <c r="E77"/>
      <c r="F77"/>
      <c r="G77"/>
      <c r="H77"/>
    </row>
    <row r="78" spans="1:15">
      <c r="F78" s="406"/>
      <c r="G78" s="425"/>
      <c r="H78" s="425"/>
      <c r="I78" s="406"/>
      <c r="J78" s="406"/>
      <c r="K78" s="406"/>
      <c r="L78" s="406"/>
      <c r="M78" s="406"/>
      <c r="N78" s="406"/>
      <c r="O78" s="406"/>
    </row>
    <row r="79" spans="1:15">
      <c r="A79" s="377" t="s">
        <v>166</v>
      </c>
      <c r="F79" s="406"/>
      <c r="G79" s="406"/>
      <c r="H79" s="406"/>
      <c r="I79" s="406"/>
      <c r="J79" s="406"/>
      <c r="K79" s="406"/>
      <c r="L79" s="406"/>
      <c r="M79" s="406"/>
      <c r="N79" s="406"/>
      <c r="O79" s="406"/>
    </row>
    <row r="80" spans="1:15">
      <c r="A80" s="380" t="s">
        <v>108</v>
      </c>
      <c r="B80" s="402" t="s">
        <v>109</v>
      </c>
      <c r="C80" s="381" t="s">
        <v>107</v>
      </c>
      <c r="D80" s="382" t="s">
        <v>110</v>
      </c>
      <c r="E80" s="383" t="s">
        <v>111</v>
      </c>
      <c r="F80" s="406"/>
      <c r="G80" s="406"/>
      <c r="H80" s="406"/>
      <c r="I80" s="406"/>
      <c r="J80" s="406"/>
      <c r="K80" s="406"/>
      <c r="L80" s="406"/>
      <c r="M80" s="406"/>
      <c r="N80" s="406"/>
      <c r="O80" s="406"/>
    </row>
    <row r="81" spans="1:15">
      <c r="A81" s="395">
        <v>45996</v>
      </c>
      <c r="B81" s="372" t="s">
        <v>167</v>
      </c>
      <c r="C81" s="787">
        <v>7195.5</v>
      </c>
      <c r="D81" s="849"/>
      <c r="E81" s="850"/>
      <c r="F81" s="406"/>
      <c r="G81" s="406"/>
      <c r="H81" s="406"/>
      <c r="I81" s="406"/>
      <c r="J81" s="406"/>
      <c r="K81" s="406"/>
      <c r="L81" s="406"/>
      <c r="M81" s="406"/>
      <c r="N81" s="406"/>
      <c r="O81" s="406"/>
    </row>
    <row r="82" spans="1:15">
      <c r="A82" s="395">
        <v>45999</v>
      </c>
      <c r="B82" s="372" t="s">
        <v>168</v>
      </c>
      <c r="C82" s="787">
        <v>925</v>
      </c>
      <c r="D82" s="849"/>
      <c r="E82" s="850"/>
      <c r="F82" s="406"/>
      <c r="G82" s="406"/>
      <c r="H82" s="406"/>
      <c r="I82" s="406"/>
      <c r="J82" s="406"/>
      <c r="K82" s="406"/>
      <c r="L82" s="406"/>
      <c r="M82" s="406"/>
      <c r="N82" s="406"/>
      <c r="O82" s="406"/>
    </row>
    <row r="83" spans="1:15">
      <c r="A83" s="395">
        <v>45999</v>
      </c>
      <c r="B83" s="372" t="s">
        <v>169</v>
      </c>
      <c r="C83" s="787">
        <v>1635</v>
      </c>
      <c r="D83" s="849"/>
      <c r="E83" s="850"/>
      <c r="F83" s="406"/>
      <c r="G83" s="406"/>
      <c r="H83" s="406"/>
      <c r="I83" s="406"/>
      <c r="J83" s="406"/>
      <c r="K83" s="406"/>
      <c r="L83" s="406"/>
      <c r="M83" s="406"/>
      <c r="N83" s="406"/>
      <c r="O83" s="406"/>
    </row>
    <row r="84" spans="1:15">
      <c r="A84" s="397">
        <v>45999</v>
      </c>
      <c r="B84" s="806" t="s">
        <v>137</v>
      </c>
      <c r="C84" s="807">
        <v>1375</v>
      </c>
      <c r="D84" s="851"/>
      <c r="E84" s="850"/>
      <c r="F84" s="406"/>
      <c r="G84" s="406"/>
      <c r="H84" s="406"/>
      <c r="I84" s="406"/>
      <c r="J84" s="406"/>
      <c r="K84" s="406"/>
      <c r="L84" s="406"/>
      <c r="M84" s="406"/>
      <c r="N84" s="406"/>
      <c r="O84" s="406"/>
    </row>
    <row r="85" spans="1:15">
      <c r="A85" s="385">
        <v>45999</v>
      </c>
      <c r="B85" s="436" t="s">
        <v>170</v>
      </c>
      <c r="C85" s="848">
        <v>12970</v>
      </c>
      <c r="D85" s="851"/>
      <c r="E85" s="850"/>
      <c r="F85" s="406"/>
      <c r="G85" s="406"/>
      <c r="H85" s="406"/>
      <c r="I85" s="406"/>
      <c r="J85" s="406"/>
      <c r="K85" s="406"/>
      <c r="L85" s="406"/>
      <c r="M85" s="406"/>
      <c r="N85" s="406"/>
      <c r="O85" s="406"/>
    </row>
    <row r="86" spans="1:15">
      <c r="A86" s="385">
        <v>46000</v>
      </c>
      <c r="B86" s="436" t="s">
        <v>171</v>
      </c>
      <c r="C86" s="848">
        <v>29760.92</v>
      </c>
      <c r="D86" s="851"/>
      <c r="E86" s="850"/>
      <c r="F86" s="406"/>
      <c r="G86" s="406"/>
      <c r="H86" s="406"/>
      <c r="I86" s="406"/>
      <c r="J86" s="406"/>
      <c r="K86" s="406"/>
      <c r="L86" s="406"/>
      <c r="M86" s="406"/>
      <c r="N86" s="406"/>
      <c r="O86" s="406"/>
    </row>
    <row r="87" spans="1:15" s="8" customFormat="1">
      <c r="A87" s="549">
        <v>46001</v>
      </c>
      <c r="B87" s="784" t="s">
        <v>172</v>
      </c>
      <c r="C87" s="852">
        <v>4624.96</v>
      </c>
      <c r="D87" s="851"/>
      <c r="E87" s="850"/>
      <c r="F87" s="406"/>
      <c r="G87" s="406"/>
      <c r="H87" s="406"/>
      <c r="I87" s="406"/>
      <c r="J87" s="406"/>
      <c r="K87" s="406"/>
      <c r="L87" s="406"/>
      <c r="M87" s="406"/>
      <c r="N87" s="406"/>
      <c r="O87" s="406"/>
    </row>
    <row r="88" spans="1:15" s="8" customFormat="1">
      <c r="A88" s="598">
        <v>46002</v>
      </c>
      <c r="B88" s="853" t="s">
        <v>173</v>
      </c>
      <c r="C88" s="783">
        <v>9295</v>
      </c>
      <c r="D88" s="851"/>
      <c r="E88" s="850"/>
      <c r="F88" s="406"/>
      <c r="G88" s="406"/>
      <c r="H88" s="406"/>
      <c r="I88" s="406"/>
      <c r="J88" s="406"/>
      <c r="K88" s="406"/>
      <c r="L88" s="406"/>
      <c r="M88" s="406"/>
      <c r="N88" s="406"/>
      <c r="O88" s="406"/>
    </row>
    <row r="89" spans="1:15" s="8" customFormat="1">
      <c r="A89" s="598">
        <v>46002</v>
      </c>
      <c r="B89" s="853" t="s">
        <v>174</v>
      </c>
      <c r="C89" s="783">
        <v>-1000</v>
      </c>
      <c r="D89" s="851"/>
      <c r="E89" s="850"/>
      <c r="F89" s="406"/>
      <c r="G89" s="406"/>
      <c r="H89" s="406"/>
      <c r="I89" s="406"/>
      <c r="J89" s="406"/>
      <c r="K89" s="406"/>
      <c r="L89" s="406"/>
      <c r="M89" s="406"/>
      <c r="N89" s="406"/>
      <c r="O89" s="406"/>
    </row>
    <row r="90" spans="1:15" s="8" customFormat="1">
      <c r="A90" s="397">
        <v>46002</v>
      </c>
      <c r="B90" s="806" t="s">
        <v>137</v>
      </c>
      <c r="C90" s="807">
        <v>900</v>
      </c>
      <c r="D90" s="851"/>
      <c r="E90" s="850"/>
      <c r="F90" s="406"/>
      <c r="G90" s="406"/>
      <c r="H90" s="406"/>
      <c r="I90" s="406"/>
      <c r="J90" s="406"/>
      <c r="K90" s="406"/>
      <c r="L90" s="406"/>
      <c r="M90" s="406"/>
      <c r="N90" s="406"/>
      <c r="O90" s="406"/>
    </row>
    <row r="91" spans="1:15" s="8" customFormat="1">
      <c r="A91" s="385">
        <v>46002</v>
      </c>
      <c r="B91" s="435" t="s">
        <v>175</v>
      </c>
      <c r="C91" s="848">
        <v>10929.12</v>
      </c>
      <c r="D91" s="854"/>
      <c r="E91" s="764"/>
      <c r="F91" s="406"/>
      <c r="G91" s="406"/>
      <c r="H91" s="406"/>
      <c r="I91" s="406"/>
      <c r="J91" s="406"/>
      <c r="K91" s="406"/>
      <c r="L91" s="406"/>
      <c r="M91" s="406"/>
      <c r="N91" s="406"/>
      <c r="O91" s="406"/>
    </row>
    <row r="92" spans="1:15" s="8" customFormat="1">
      <c r="A92" s="395">
        <v>46002</v>
      </c>
      <c r="B92" s="440" t="s">
        <v>176</v>
      </c>
      <c r="C92" s="787">
        <v>1300</v>
      </c>
      <c r="D92" s="854"/>
      <c r="E92" s="764"/>
      <c r="F92" s="406"/>
      <c r="G92" s="406"/>
      <c r="H92" s="406"/>
      <c r="I92" s="406"/>
      <c r="J92" s="406"/>
      <c r="K92" s="406"/>
      <c r="L92" s="406"/>
      <c r="M92" s="406"/>
      <c r="N92" s="406"/>
      <c r="O92" s="406"/>
    </row>
    <row r="93" spans="1:15" s="8" customFormat="1">
      <c r="A93" s="549">
        <v>46003</v>
      </c>
      <c r="B93" s="855" t="s">
        <v>177</v>
      </c>
      <c r="C93" s="788">
        <v>2611.1999999999998</v>
      </c>
      <c r="D93" s="854"/>
      <c r="E93" s="764"/>
      <c r="F93" s="406"/>
      <c r="G93" s="406"/>
      <c r="H93" s="406"/>
      <c r="I93" s="406"/>
      <c r="J93" s="406"/>
      <c r="K93" s="406"/>
      <c r="L93" s="406"/>
      <c r="M93" s="406"/>
      <c r="N93" s="406"/>
      <c r="O93" s="406"/>
    </row>
    <row r="94" spans="1:15" s="8" customFormat="1">
      <c r="A94" s="395">
        <v>46003</v>
      </c>
      <c r="B94" s="793" t="s">
        <v>178</v>
      </c>
      <c r="C94" s="787">
        <v>3125</v>
      </c>
      <c r="D94" s="856"/>
      <c r="E94" s="794"/>
      <c r="F94" s="406"/>
      <c r="G94" s="406"/>
      <c r="H94" s="406"/>
      <c r="I94" s="406"/>
      <c r="J94" s="406"/>
      <c r="K94" s="406"/>
      <c r="L94" s="406"/>
      <c r="M94" s="406"/>
      <c r="N94" s="406"/>
      <c r="O94" s="406"/>
    </row>
    <row r="95" spans="1:15" s="8" customFormat="1">
      <c r="A95" s="395">
        <v>46003</v>
      </c>
      <c r="B95" s="793" t="s">
        <v>179</v>
      </c>
      <c r="C95" s="787">
        <v>50000</v>
      </c>
      <c r="D95" s="854"/>
      <c r="E95" s="764"/>
      <c r="F95" s="406"/>
      <c r="G95" s="406"/>
      <c r="H95" s="406"/>
      <c r="I95" s="406"/>
      <c r="J95" s="406"/>
      <c r="K95" s="406"/>
      <c r="L95" s="406"/>
      <c r="M95" s="406"/>
      <c r="N95" s="406"/>
      <c r="O95" s="406"/>
    </row>
    <row r="96" spans="1:15" s="8" customFormat="1">
      <c r="A96" s="549">
        <v>46007</v>
      </c>
      <c r="B96" s="857" t="s">
        <v>180</v>
      </c>
      <c r="C96" s="852">
        <v>2536</v>
      </c>
      <c r="D96" s="854"/>
      <c r="E96" s="764"/>
      <c r="F96" s="406"/>
      <c r="G96" s="406"/>
      <c r="H96" s="406"/>
      <c r="I96" s="406"/>
      <c r="J96" s="406"/>
      <c r="K96" s="406"/>
      <c r="L96" s="406"/>
      <c r="M96" s="406"/>
      <c r="N96" s="406"/>
      <c r="O96" s="406"/>
    </row>
    <row r="97" spans="1:15" s="8" customFormat="1">
      <c r="A97" s="397">
        <v>46008</v>
      </c>
      <c r="B97" s="387" t="s">
        <v>137</v>
      </c>
      <c r="C97" s="807">
        <v>1850</v>
      </c>
      <c r="D97" s="854"/>
      <c r="E97" s="764"/>
      <c r="F97" s="406"/>
      <c r="G97" s="406"/>
      <c r="H97" s="406"/>
      <c r="I97" s="406"/>
      <c r="J97" s="406"/>
      <c r="K97" s="406"/>
      <c r="L97" s="406"/>
      <c r="M97" s="406"/>
      <c r="N97" s="406"/>
      <c r="O97" s="406"/>
    </row>
    <row r="98" spans="1:15" s="8" customFormat="1">
      <c r="A98" s="395">
        <v>46009</v>
      </c>
      <c r="B98" s="793" t="s">
        <v>181</v>
      </c>
      <c r="C98" s="787">
        <v>365</v>
      </c>
      <c r="D98" s="854"/>
      <c r="E98" s="764"/>
      <c r="F98" s="406"/>
      <c r="G98" s="406"/>
      <c r="H98" s="406"/>
      <c r="I98" s="406"/>
      <c r="J98" s="406"/>
      <c r="K98" s="406"/>
      <c r="L98" s="406"/>
      <c r="M98" s="406"/>
      <c r="N98" s="406"/>
      <c r="O98" s="406"/>
    </row>
    <row r="99" spans="1:15" s="8" customFormat="1">
      <c r="A99" s="549">
        <v>46010</v>
      </c>
      <c r="B99" s="857" t="s">
        <v>182</v>
      </c>
      <c r="C99" s="852">
        <v>4592</v>
      </c>
      <c r="D99" s="854"/>
      <c r="E99" s="764"/>
      <c r="F99" s="406"/>
      <c r="G99" s="406"/>
      <c r="H99" s="406"/>
      <c r="I99" s="406"/>
      <c r="J99" s="406"/>
      <c r="K99" s="406"/>
      <c r="L99" s="406"/>
      <c r="M99" s="406"/>
      <c r="N99" s="406"/>
      <c r="O99" s="406"/>
    </row>
    <row r="100" spans="1:15" s="8" customFormat="1">
      <c r="A100" s="549">
        <v>46010</v>
      </c>
      <c r="B100" s="857" t="s">
        <v>182</v>
      </c>
      <c r="C100" s="852">
        <v>8423</v>
      </c>
      <c r="D100" s="854"/>
      <c r="E100" s="764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</row>
    <row r="101" spans="1:15" s="8" customFormat="1">
      <c r="A101" s="395">
        <v>46010</v>
      </c>
      <c r="B101" s="793" t="s">
        <v>183</v>
      </c>
      <c r="C101" s="787">
        <v>1824.85</v>
      </c>
      <c r="D101" s="854"/>
      <c r="E101" s="764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</row>
    <row r="102" spans="1:15" s="8" customFormat="1">
      <c r="A102" s="397">
        <v>46010</v>
      </c>
      <c r="B102" s="387" t="s">
        <v>137</v>
      </c>
      <c r="C102" s="807">
        <v>8720</v>
      </c>
      <c r="D102" s="854"/>
      <c r="E102" s="764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</row>
    <row r="103" spans="1:15" s="8" customFormat="1">
      <c r="A103" s="549">
        <v>46013</v>
      </c>
      <c r="B103" s="857" t="s">
        <v>169</v>
      </c>
      <c r="C103" s="852">
        <v>1370.24</v>
      </c>
      <c r="D103" s="858"/>
      <c r="E103" s="859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</row>
    <row r="104" spans="1:15" s="8" customFormat="1">
      <c r="A104" s="600">
        <v>46013</v>
      </c>
      <c r="B104" s="761" t="s">
        <v>184</v>
      </c>
      <c r="C104" s="860">
        <v>25950.02</v>
      </c>
      <c r="D104" s="858"/>
      <c r="E104" s="859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</row>
    <row r="105" spans="1:15" s="8" customFormat="1">
      <c r="A105" s="598">
        <v>46014</v>
      </c>
      <c r="B105" s="678" t="s">
        <v>185</v>
      </c>
      <c r="C105" s="802">
        <v>7568.75</v>
      </c>
      <c r="D105" s="858"/>
      <c r="E105" s="859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</row>
    <row r="106" spans="1:15" s="8" customFormat="1">
      <c r="A106" s="549">
        <v>46015</v>
      </c>
      <c r="B106" s="857" t="s">
        <v>169</v>
      </c>
      <c r="C106" s="852">
        <v>2745</v>
      </c>
      <c r="D106" s="858"/>
      <c r="E106" s="859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</row>
    <row r="107" spans="1:15" s="8" customFormat="1">
      <c r="A107" s="598">
        <v>46015</v>
      </c>
      <c r="B107" s="678" t="s">
        <v>186</v>
      </c>
      <c r="C107" s="802">
        <v>1995</v>
      </c>
      <c r="D107" s="858"/>
      <c r="E107" s="859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</row>
    <row r="108" spans="1:15" s="8" customFormat="1">
      <c r="A108" s="397">
        <v>46015</v>
      </c>
      <c r="B108" s="387" t="s">
        <v>137</v>
      </c>
      <c r="C108" s="807">
        <v>475</v>
      </c>
      <c r="D108" s="858"/>
      <c r="E108" s="859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</row>
    <row r="109" spans="1:15" s="8" customFormat="1">
      <c r="A109" s="549">
        <v>46017</v>
      </c>
      <c r="B109" s="857" t="s">
        <v>187</v>
      </c>
      <c r="C109" s="852">
        <v>5536.8</v>
      </c>
      <c r="D109" s="858"/>
      <c r="E109" s="859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</row>
    <row r="110" spans="1:15" s="8" customFormat="1">
      <c r="A110" s="397">
        <v>46017</v>
      </c>
      <c r="B110" s="387" t="s">
        <v>137</v>
      </c>
      <c r="C110" s="807">
        <v>3750</v>
      </c>
      <c r="D110" s="858"/>
      <c r="E110" s="859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</row>
    <row r="111" spans="1:15" s="8" customFormat="1">
      <c r="A111" s="397">
        <v>46020</v>
      </c>
      <c r="B111" s="387" t="s">
        <v>137</v>
      </c>
      <c r="C111" s="807">
        <v>4100</v>
      </c>
      <c r="D111" s="858"/>
      <c r="E111" s="859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</row>
    <row r="112" spans="1:15" s="8" customFormat="1">
      <c r="A112" s="598">
        <v>46020</v>
      </c>
      <c r="B112" s="678" t="s">
        <v>188</v>
      </c>
      <c r="C112" s="802"/>
      <c r="D112" s="861"/>
      <c r="E112" s="862">
        <v>-33473.75</v>
      </c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</row>
    <row r="113" spans="1:15" s="8" customFormat="1">
      <c r="A113" s="598">
        <v>46020</v>
      </c>
      <c r="B113" s="678" t="s">
        <v>188</v>
      </c>
      <c r="C113" s="802"/>
      <c r="D113" s="861"/>
      <c r="E113" s="862">
        <v>-443091.05</v>
      </c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</row>
    <row r="114" spans="1:15" s="8" customFormat="1">
      <c r="A114" s="397">
        <v>46021</v>
      </c>
      <c r="B114" s="387" t="s">
        <v>137</v>
      </c>
      <c r="C114" s="807">
        <v>1375</v>
      </c>
      <c r="D114" s="861"/>
      <c r="E114" s="862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</row>
    <row r="115" spans="1:15" s="8" customFormat="1">
      <c r="A115" s="598">
        <v>46021</v>
      </c>
      <c r="B115" s="678" t="s">
        <v>189</v>
      </c>
      <c r="C115" s="802">
        <v>760</v>
      </c>
      <c r="D115" s="861"/>
      <c r="E115" s="862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</row>
    <row r="116" spans="1:15" s="8" customFormat="1">
      <c r="A116" s="549">
        <v>46022</v>
      </c>
      <c r="B116" s="857" t="s">
        <v>190</v>
      </c>
      <c r="C116" s="852">
        <v>1075</v>
      </c>
      <c r="D116" s="861"/>
      <c r="E116" s="862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</row>
    <row r="117" spans="1:15" s="64" customFormat="1">
      <c r="B117" s="403"/>
      <c r="C117" s="542">
        <f>SUM(C81:C116)</f>
        <v>220658.36</v>
      </c>
      <c r="D117" s="404">
        <f>SUM(D84:D91)</f>
        <v>0</v>
      </c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</row>
    <row r="118" spans="1:15" s="64" customFormat="1">
      <c r="A118" s="403"/>
      <c r="B118" s="403"/>
      <c r="C118" s="403"/>
      <c r="D118" s="431"/>
      <c r="E118" s="407">
        <f>+C117+D117</f>
        <v>220658.36</v>
      </c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</row>
    <row r="119" spans="1:15" s="64" customFormat="1" ht="15.75" thickBot="1">
      <c r="A119" s="403"/>
      <c r="B119" s="403"/>
      <c r="C119" s="403"/>
      <c r="D119" s="406"/>
      <c r="E119" s="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</row>
    <row r="120" spans="1:15" s="8" customFormat="1" ht="15.75" thickTop="1">
      <c r="A120" s="377" t="s">
        <v>191</v>
      </c>
      <c r="B120" s="6"/>
      <c r="C120" s="6"/>
      <c r="F120"/>
      <c r="G120" s="406"/>
      <c r="H120" s="406"/>
      <c r="I120" s="406"/>
      <c r="J120" s="406"/>
      <c r="K120" s="406"/>
      <c r="L120" s="406"/>
      <c r="M120" s="406"/>
      <c r="N120" s="406"/>
      <c r="O120" s="406"/>
    </row>
    <row r="121" spans="1:15" s="8" customFormat="1">
      <c r="A121" s="402" t="s">
        <v>108</v>
      </c>
      <c r="B121" s="402" t="s">
        <v>109</v>
      </c>
      <c r="C121" s="409" t="s">
        <v>107</v>
      </c>
      <c r="D121" s="382" t="s">
        <v>110</v>
      </c>
      <c r="E121" s="410" t="s">
        <v>111</v>
      </c>
      <c r="F121" s="561"/>
      <c r="G121" s="406"/>
      <c r="H121" s="406"/>
      <c r="I121" s="406"/>
      <c r="J121" s="406"/>
      <c r="K121" s="406"/>
      <c r="L121" s="406"/>
      <c r="M121" s="406"/>
      <c r="N121" s="406"/>
      <c r="O121" s="406"/>
    </row>
    <row r="122" spans="1:15" s="8" customFormat="1">
      <c r="A122" s="598">
        <v>46002</v>
      </c>
      <c r="B122" s="690" t="s">
        <v>192</v>
      </c>
      <c r="C122" s="839">
        <v>545</v>
      </c>
      <c r="D122" s="539"/>
      <c r="E122" s="543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</row>
    <row r="123" spans="1:15" s="8" customFormat="1">
      <c r="A123" s="598">
        <v>46003</v>
      </c>
      <c r="B123" s="690" t="s">
        <v>193</v>
      </c>
      <c r="C123" s="839">
        <v>524.99</v>
      </c>
      <c r="D123" s="539"/>
      <c r="E123" s="543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</row>
    <row r="124" spans="1:15" s="8" customFormat="1">
      <c r="A124" s="598">
        <v>46006</v>
      </c>
      <c r="B124" s="690" t="s">
        <v>194</v>
      </c>
      <c r="C124" s="839">
        <v>629</v>
      </c>
      <c r="D124" s="539"/>
      <c r="E124" s="543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</row>
    <row r="125" spans="1:15" s="8" customFormat="1">
      <c r="A125" s="598">
        <v>46008</v>
      </c>
      <c r="B125" s="690" t="s">
        <v>195</v>
      </c>
      <c r="C125" s="839">
        <v>1100</v>
      </c>
      <c r="D125" s="539"/>
      <c r="E125" s="543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</row>
    <row r="126" spans="1:15" s="8" customFormat="1">
      <c r="A126" s="600">
        <v>46008</v>
      </c>
      <c r="B126" s="843" t="s">
        <v>196</v>
      </c>
      <c r="C126" s="844">
        <v>1875.5</v>
      </c>
      <c r="D126" s="839"/>
      <c r="E126" s="840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</row>
    <row r="127" spans="1:15" s="8" customFormat="1">
      <c r="A127" s="598">
        <v>46009</v>
      </c>
      <c r="B127" s="690" t="s">
        <v>197</v>
      </c>
      <c r="C127" s="839">
        <v>495</v>
      </c>
      <c r="D127" s="839"/>
      <c r="E127" s="840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</row>
    <row r="128" spans="1:15" s="8" customFormat="1">
      <c r="A128" s="598">
        <v>46013</v>
      </c>
      <c r="B128" s="692" t="s">
        <v>198</v>
      </c>
      <c r="C128" s="839"/>
      <c r="D128" s="839">
        <v>4389.51</v>
      </c>
      <c r="E128" s="839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</row>
    <row r="129" spans="1:46" s="8" customFormat="1">
      <c r="A129" s="395">
        <v>46013</v>
      </c>
      <c r="B129" s="408" t="s">
        <v>195</v>
      </c>
      <c r="C129" s="539">
        <v>1100</v>
      </c>
      <c r="D129" s="539"/>
      <c r="E129" s="540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</row>
    <row r="130" spans="1:46" s="8" customFormat="1">
      <c r="A130" s="395">
        <v>46014</v>
      </c>
      <c r="B130" s="411" t="s">
        <v>199</v>
      </c>
      <c r="C130" s="539">
        <v>500</v>
      </c>
      <c r="D130" s="539"/>
      <c r="E130" s="540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</row>
    <row r="131" spans="1:46">
      <c r="A131" s="395">
        <v>46015</v>
      </c>
      <c r="B131" s="411" t="s">
        <v>199</v>
      </c>
      <c r="C131" s="539">
        <v>480</v>
      </c>
      <c r="D131" s="539"/>
      <c r="E131" s="540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</row>
    <row r="132" spans="1:46" s="8" customFormat="1">
      <c r="A132" s="395">
        <v>46017</v>
      </c>
      <c r="B132" s="372" t="s">
        <v>200</v>
      </c>
      <c r="C132" s="539">
        <v>670</v>
      </c>
      <c r="D132" s="539"/>
      <c r="E132" s="540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</row>
    <row r="133" spans="1:46" s="8" customFormat="1">
      <c r="A133" s="395">
        <v>46020</v>
      </c>
      <c r="B133" s="411" t="s">
        <v>201</v>
      </c>
      <c r="C133" s="539">
        <v>608.6</v>
      </c>
      <c r="D133" s="539"/>
      <c r="E133" s="540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</row>
    <row r="134" spans="1:46" s="31" customFormat="1">
      <c r="A134" s="395">
        <v>46021</v>
      </c>
      <c r="B134" s="411" t="s">
        <v>202</v>
      </c>
      <c r="C134" s="539"/>
      <c r="D134" s="539"/>
      <c r="E134" s="540">
        <v>-14000</v>
      </c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</row>
    <row r="135" spans="1:46" s="31" customFormat="1">
      <c r="A135" s="395">
        <v>46025</v>
      </c>
      <c r="B135" s="411" t="s">
        <v>203</v>
      </c>
      <c r="C135" s="539">
        <v>470</v>
      </c>
      <c r="D135" s="539"/>
      <c r="E135" s="540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</row>
    <row r="136" spans="1:46" s="31" customFormat="1">
      <c r="A136" s="406"/>
      <c r="B136" s="412" t="s">
        <v>204</v>
      </c>
      <c r="C136" s="413">
        <f>SUM(C122:C135)</f>
        <v>8998.09</v>
      </c>
      <c r="D136" s="537"/>
      <c r="E136" s="592">
        <f>SUM(C122:D135)</f>
        <v>13387.6</v>
      </c>
      <c r="F136" s="406"/>
      <c r="G136" s="406"/>
      <c r="H136" s="406"/>
    </row>
    <row r="137" spans="1:46" s="31" customFormat="1">
      <c r="A137" s="415"/>
      <c r="B137" s="416" t="s">
        <v>205</v>
      </c>
      <c r="C137" s="417"/>
      <c r="D137" s="418">
        <f>SUM(D122:D135)</f>
        <v>4389.51</v>
      </c>
      <c r="E137" s="406"/>
      <c r="F137" s="406"/>
      <c r="G137" s="406"/>
      <c r="H137" s="406"/>
      <c r="I137" s="406"/>
      <c r="J137" s="406"/>
      <c r="K137" s="406"/>
      <c r="L137" s="406"/>
    </row>
    <row r="138" spans="1:46" s="31" customFormat="1">
      <c r="A138" s="419"/>
      <c r="B138" s="406"/>
      <c r="C138" s="406"/>
      <c r="D138" s="406"/>
      <c r="E138" s="406"/>
      <c r="F138" s="406"/>
      <c r="G138" s="406"/>
      <c r="H138" s="406"/>
      <c r="I138" s="406"/>
      <c r="J138" s="534"/>
      <c r="K138" s="534"/>
      <c r="L138" s="534"/>
      <c r="M138" s="534"/>
      <c r="N138" s="534"/>
      <c r="O138" s="534"/>
      <c r="P138" s="534"/>
      <c r="Q138" s="534"/>
      <c r="R138" s="534"/>
      <c r="S138" s="534"/>
      <c r="T138" s="534"/>
      <c r="U138" s="534"/>
      <c r="V138" s="534"/>
      <c r="W138" s="534"/>
      <c r="X138" s="534"/>
      <c r="Y138" s="534"/>
      <c r="Z138" s="534"/>
      <c r="AA138" s="534"/>
      <c r="AB138" s="534"/>
      <c r="AC138" s="534"/>
      <c r="AD138" s="534"/>
      <c r="AE138" s="534"/>
      <c r="AF138" s="534"/>
      <c r="AG138" s="534"/>
      <c r="AH138" s="534"/>
      <c r="AI138" s="534"/>
      <c r="AJ138" s="534"/>
      <c r="AK138" s="534"/>
    </row>
    <row r="139" spans="1:46" s="31" customFormat="1" ht="15.75" thickBot="1">
      <c r="A139" s="419"/>
      <c r="B139" s="406"/>
      <c r="C139" s="406"/>
      <c r="D139" s="406"/>
      <c r="E139" s="406"/>
      <c r="F139" s="406"/>
      <c r="G139" s="534"/>
      <c r="H139" s="534"/>
      <c r="I139" s="534"/>
      <c r="J139" s="534"/>
      <c r="K139" s="534"/>
      <c r="L139" s="534"/>
      <c r="M139" s="534"/>
      <c r="N139" s="534"/>
      <c r="O139" s="534"/>
      <c r="P139" s="534"/>
      <c r="Q139" s="534"/>
      <c r="R139" s="534"/>
      <c r="S139" s="534"/>
      <c r="T139" s="534"/>
      <c r="U139" s="534"/>
      <c r="V139" s="534"/>
      <c r="W139" s="534"/>
      <c r="X139" s="534"/>
      <c r="Y139" s="534"/>
      <c r="Z139" s="534"/>
      <c r="AA139" s="534"/>
      <c r="AB139" s="534"/>
      <c r="AC139" s="534"/>
      <c r="AD139" s="534"/>
      <c r="AE139" s="534"/>
      <c r="AF139" s="534"/>
      <c r="AG139" s="534"/>
      <c r="AH139" s="534"/>
      <c r="AI139" s="534"/>
      <c r="AJ139" s="534"/>
      <c r="AK139" s="534"/>
    </row>
    <row r="140" spans="1:46" s="31" customFormat="1" ht="15.75" thickTop="1">
      <c r="A140" s="419"/>
      <c r="B140" s="406"/>
      <c r="C140" s="406"/>
      <c r="D140" s="406"/>
      <c r="E140" s="406"/>
      <c r="F140" s="406"/>
      <c r="G140" s="534"/>
      <c r="H140" s="534"/>
      <c r="I140" s="534"/>
      <c r="J140" s="534"/>
      <c r="K140" s="534"/>
      <c r="L140" s="534"/>
      <c r="M140" s="534"/>
      <c r="N140" s="534"/>
      <c r="O140" s="534"/>
      <c r="P140" s="534"/>
      <c r="Q140" s="534"/>
      <c r="R140" s="534"/>
      <c r="S140" s="534"/>
      <c r="T140" s="534"/>
      <c r="U140" s="534"/>
      <c r="V140" s="534"/>
      <c r="W140" s="534"/>
      <c r="X140" s="534"/>
      <c r="Y140" s="534"/>
      <c r="Z140" s="534"/>
      <c r="AA140" s="534"/>
      <c r="AB140" s="534"/>
      <c r="AC140" s="534"/>
      <c r="AD140" s="534"/>
      <c r="AE140" s="534"/>
      <c r="AF140" s="534"/>
      <c r="AG140" s="534"/>
      <c r="AH140" s="534"/>
      <c r="AI140" s="534"/>
      <c r="AJ140" s="534"/>
      <c r="AK140" s="534"/>
    </row>
    <row r="141" spans="1:46" s="31" customFormat="1">
      <c r="A141" s="377" t="s">
        <v>206</v>
      </c>
      <c r="B141" s="420"/>
      <c r="C141" s="421"/>
      <c r="D141" s="405"/>
      <c r="E141" s="422"/>
      <c r="F141" s="406"/>
      <c r="G141" s="534"/>
      <c r="H141" s="534"/>
      <c r="I141" s="534"/>
      <c r="J141" s="534"/>
      <c r="K141" s="534"/>
      <c r="L141" s="534"/>
      <c r="M141" s="534"/>
      <c r="N141" s="534"/>
      <c r="O141" s="534"/>
      <c r="P141" s="534"/>
      <c r="Q141" s="534"/>
      <c r="R141" s="534"/>
      <c r="S141" s="534"/>
      <c r="T141" s="534"/>
      <c r="U141" s="534"/>
      <c r="V141" s="534"/>
      <c r="W141" s="534"/>
      <c r="X141" s="534"/>
      <c r="Y141" s="534"/>
      <c r="Z141" s="534"/>
      <c r="AA141" s="534"/>
      <c r="AB141" s="534"/>
      <c r="AC141" s="534"/>
      <c r="AD141" s="534"/>
      <c r="AE141" s="534"/>
      <c r="AF141" s="534"/>
      <c r="AG141" s="534"/>
      <c r="AH141" s="534"/>
      <c r="AI141" s="534"/>
      <c r="AJ141" s="534"/>
      <c r="AK141" s="534"/>
    </row>
    <row r="142" spans="1:46" s="31" customFormat="1">
      <c r="A142" s="402" t="s">
        <v>108</v>
      </c>
      <c r="B142" s="402" t="s">
        <v>109</v>
      </c>
      <c r="C142" s="409" t="s">
        <v>107</v>
      </c>
      <c r="D142" s="432" t="s">
        <v>110</v>
      </c>
      <c r="E142" s="410" t="s">
        <v>111</v>
      </c>
      <c r="F142" s="406"/>
      <c r="G142" s="534"/>
      <c r="H142" s="534"/>
      <c r="I142" s="534"/>
      <c r="J142" s="534"/>
      <c r="K142" s="534"/>
      <c r="L142" s="534"/>
      <c r="M142" s="534"/>
      <c r="N142" s="534"/>
      <c r="O142" s="534"/>
      <c r="P142" s="534"/>
      <c r="Q142" s="534"/>
      <c r="R142" s="534"/>
      <c r="S142" s="534"/>
      <c r="T142" s="534"/>
      <c r="U142" s="534"/>
      <c r="V142" s="534"/>
      <c r="W142" s="534"/>
      <c r="X142" s="534"/>
      <c r="Y142" s="534"/>
      <c r="Z142" s="534"/>
      <c r="AA142" s="534"/>
      <c r="AB142" s="534"/>
      <c r="AC142" s="534"/>
      <c r="AD142" s="534"/>
      <c r="AE142" s="534"/>
      <c r="AF142" s="534"/>
      <c r="AG142" s="534"/>
      <c r="AH142" s="534"/>
      <c r="AI142" s="534"/>
      <c r="AJ142" s="534"/>
      <c r="AK142" s="534"/>
    </row>
    <row r="143" spans="1:46" s="31" customFormat="1">
      <c r="A143" s="810">
        <v>46000</v>
      </c>
      <c r="B143" s="550" t="s">
        <v>207</v>
      </c>
      <c r="C143" s="863">
        <v>300</v>
      </c>
      <c r="D143" s="795"/>
      <c r="E143" s="864"/>
      <c r="F143" s="406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</row>
    <row r="144" spans="1:46" s="31" customFormat="1">
      <c r="A144" s="437">
        <v>46001</v>
      </c>
      <c r="B144" s="551" t="s">
        <v>208</v>
      </c>
      <c r="C144" s="396">
        <v>580</v>
      </c>
      <c r="D144" s="795"/>
      <c r="E144" s="864"/>
      <c r="F144" s="406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</row>
    <row r="145" spans="1:46" s="31" customFormat="1">
      <c r="A145" s="598">
        <v>46002</v>
      </c>
      <c r="B145" s="372" t="s">
        <v>209</v>
      </c>
      <c r="C145" s="599">
        <v>470</v>
      </c>
      <c r="D145" s="795"/>
      <c r="E145" s="864"/>
      <c r="F145" s="438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 spans="1:46" s="31" customFormat="1">
      <c r="A146" s="437">
        <v>46003</v>
      </c>
      <c r="B146" s="372" t="s">
        <v>210</v>
      </c>
      <c r="C146" s="599">
        <v>-153</v>
      </c>
      <c r="D146" s="795"/>
      <c r="E146" s="864"/>
      <c r="F146" s="438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 spans="1:46" s="31" customFormat="1">
      <c r="A147" s="437">
        <v>46004</v>
      </c>
      <c r="B147" s="551" t="s">
        <v>211</v>
      </c>
      <c r="C147" s="396"/>
      <c r="D147" s="795">
        <v>10583.57</v>
      </c>
      <c r="E147" s="864"/>
      <c r="F147" s="438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</row>
    <row r="148" spans="1:46" s="31" customFormat="1">
      <c r="A148" s="598">
        <v>46004</v>
      </c>
      <c r="B148" s="372" t="s">
        <v>212</v>
      </c>
      <c r="C148" s="599">
        <v>4499.34</v>
      </c>
      <c r="D148" s="795"/>
      <c r="E148" s="864"/>
      <c r="F148" s="43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</row>
    <row r="149" spans="1:46" s="31" customFormat="1">
      <c r="A149" s="598">
        <v>46006</v>
      </c>
      <c r="B149" s="394" t="s">
        <v>145</v>
      </c>
      <c r="C149" s="599"/>
      <c r="D149" s="795"/>
      <c r="E149" s="783">
        <v>-82404.55</v>
      </c>
      <c r="F149" s="438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 spans="1:46" s="31" customFormat="1">
      <c r="A150" s="598">
        <v>46007</v>
      </c>
      <c r="B150" s="394" t="s">
        <v>213</v>
      </c>
      <c r="C150" s="599">
        <v>2714</v>
      </c>
      <c r="D150" s="795"/>
      <c r="E150" s="864"/>
      <c r="F150" s="438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 spans="1:46" s="31" customFormat="1">
      <c r="A151" s="536">
        <v>46007</v>
      </c>
      <c r="B151" s="841" t="s">
        <v>207</v>
      </c>
      <c r="C151" s="842">
        <v>1344</v>
      </c>
      <c r="D151" s="865"/>
      <c r="E151" s="866"/>
      <c r="F151" s="438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 spans="1:46" s="31" customFormat="1">
      <c r="A152" s="598">
        <v>46010</v>
      </c>
      <c r="B152" s="394" t="s">
        <v>211</v>
      </c>
      <c r="C152" s="599">
        <v>357.9</v>
      </c>
      <c r="D152" s="795"/>
      <c r="E152" s="864"/>
      <c r="F152" s="438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 spans="1:46" s="31" customFormat="1">
      <c r="A153" s="598">
        <v>46010</v>
      </c>
      <c r="B153" s="394" t="s">
        <v>198</v>
      </c>
      <c r="C153" s="599">
        <v>6890</v>
      </c>
      <c r="D153" s="795"/>
      <c r="E153" s="864"/>
      <c r="F153" s="438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 spans="1:46" s="31" customFormat="1">
      <c r="A154" s="437">
        <v>46013</v>
      </c>
      <c r="B154" s="551" t="s">
        <v>214</v>
      </c>
      <c r="C154" s="396"/>
      <c r="D154" s="795">
        <v>10254</v>
      </c>
      <c r="E154" s="864"/>
      <c r="F154" s="438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 spans="1:46" s="31" customFormat="1">
      <c r="A155" s="682">
        <v>46013</v>
      </c>
      <c r="B155" s="553" t="s">
        <v>215</v>
      </c>
      <c r="C155" s="867">
        <v>61370</v>
      </c>
      <c r="D155" s="396"/>
      <c r="E155" s="864"/>
      <c r="F155" s="438" t="s">
        <v>216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 spans="1:46" s="31" customFormat="1">
      <c r="A156" s="437">
        <v>46014</v>
      </c>
      <c r="B156" s="394" t="s">
        <v>145</v>
      </c>
      <c r="C156" s="795"/>
      <c r="D156" s="396"/>
      <c r="E156" s="868">
        <v>-50000</v>
      </c>
      <c r="F156" s="438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 spans="1:46" s="31" customFormat="1">
      <c r="A157" s="437">
        <v>46017</v>
      </c>
      <c r="B157" s="690" t="s">
        <v>211</v>
      </c>
      <c r="C157" s="795"/>
      <c r="D157" s="396">
        <v>2237.6999999999998</v>
      </c>
      <c r="E157" s="868"/>
      <c r="F157" s="438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 spans="1:46" s="31" customFormat="1">
      <c r="A158" s="437">
        <v>46017</v>
      </c>
      <c r="B158" s="690" t="s">
        <v>217</v>
      </c>
      <c r="C158" s="795">
        <v>333.95</v>
      </c>
      <c r="D158" s="396"/>
      <c r="E158" s="868"/>
      <c r="F158" s="43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 spans="1:46" s="31" customFormat="1">
      <c r="A159" s="846">
        <v>46017</v>
      </c>
      <c r="B159" s="847" t="s">
        <v>218</v>
      </c>
      <c r="C159" s="869">
        <v>5103.5</v>
      </c>
      <c r="D159" s="396"/>
      <c r="E159" s="868"/>
      <c r="F159" s="438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 spans="1:46" s="31" customFormat="1">
      <c r="A160" s="437">
        <v>46017</v>
      </c>
      <c r="B160" s="690" t="s">
        <v>219</v>
      </c>
      <c r="C160" s="795">
        <v>307</v>
      </c>
      <c r="D160" s="396"/>
      <c r="E160" s="868"/>
      <c r="F160" s="438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 spans="1:46" s="31" customFormat="1">
      <c r="A161" s="437">
        <v>46020</v>
      </c>
      <c r="B161" s="690" t="s">
        <v>220</v>
      </c>
      <c r="C161" s="795">
        <v>5525</v>
      </c>
      <c r="D161" s="396"/>
      <c r="E161" s="868"/>
      <c r="F161" s="438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 spans="1:46" s="31" customFormat="1">
      <c r="A162" s="437">
        <v>46029</v>
      </c>
      <c r="B162" s="690" t="s">
        <v>221</v>
      </c>
      <c r="C162" s="599">
        <v>-676</v>
      </c>
      <c r="D162" s="552"/>
      <c r="E162" s="838"/>
      <c r="F162" s="438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 spans="1:46" s="31" customFormat="1">
      <c r="A163" s="406"/>
      <c r="B163" s="412" t="s">
        <v>222</v>
      </c>
      <c r="C163" s="413">
        <f>SUM(C143:C162)</f>
        <v>88965.689999999988</v>
      </c>
      <c r="D163" s="538"/>
      <c r="E163" s="414"/>
      <c r="F163" s="438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 spans="1:46" s="31" customFormat="1">
      <c r="A164" s="415"/>
      <c r="B164" s="416" t="s">
        <v>205</v>
      </c>
      <c r="C164" s="417"/>
      <c r="D164" s="418">
        <f>SUM(D143:D162)</f>
        <v>23075.27</v>
      </c>
      <c r="E164" s="418">
        <f>C163+D164</f>
        <v>112040.95999999999</v>
      </c>
      <c r="F164" s="438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 spans="1:46" s="31" customFormat="1">
      <c r="A165" s="415"/>
      <c r="B165" s="416"/>
      <c r="C165" s="417"/>
      <c r="D165" s="675"/>
      <c r="E165" s="406"/>
      <c r="F165" s="6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 spans="1:46" s="31" customFormat="1">
      <c r="A166" s="419"/>
      <c r="B166" s="406"/>
      <c r="C166" s="406"/>
      <c r="D166" s="406"/>
      <c r="E166" s="406"/>
      <c r="F166" s="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 spans="1:46" s="31" customFormat="1">
      <c r="A167" s="419"/>
      <c r="B167" s="406"/>
      <c r="C167" s="406"/>
      <c r="D167" s="406"/>
      <c r="E167" s="406"/>
      <c r="F167" s="6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 spans="1:46" s="31" customFormat="1">
      <c r="A168" s="6"/>
      <c r="B168" s="6"/>
      <c r="C168" s="6"/>
      <c r="E168" s="422"/>
      <c r="F168" s="406"/>
      <c r="G168" s="534"/>
      <c r="H168" s="534"/>
      <c r="I168" s="534"/>
      <c r="J168" s="534"/>
      <c r="K168" s="534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  <c r="Z168" s="534"/>
      <c r="AA168" s="534"/>
      <c r="AB168" s="534"/>
      <c r="AC168" s="534"/>
      <c r="AD168" s="534"/>
      <c r="AE168" s="534"/>
      <c r="AF168" s="534"/>
      <c r="AG168" s="534"/>
      <c r="AH168" s="534"/>
      <c r="AI168" s="534"/>
      <c r="AJ168" s="534"/>
      <c r="AK168" s="534"/>
    </row>
    <row r="169" spans="1:46" s="31" customFormat="1">
      <c r="A169" s="377" t="s">
        <v>223</v>
      </c>
      <c r="B169" s="420"/>
      <c r="C169" s="421"/>
      <c r="E169" s="422"/>
      <c r="F169" s="406"/>
      <c r="G169" s="534"/>
      <c r="H169" s="534"/>
      <c r="I169" s="534"/>
      <c r="J169" s="534"/>
      <c r="K169" s="534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  <c r="AA169" s="534"/>
      <c r="AB169" s="534"/>
      <c r="AC169" s="534"/>
      <c r="AD169" s="534"/>
      <c r="AE169" s="534"/>
      <c r="AF169" s="534"/>
      <c r="AG169" s="534"/>
      <c r="AH169" s="534"/>
      <c r="AI169" s="534"/>
      <c r="AJ169" s="534"/>
      <c r="AK169" s="534"/>
    </row>
    <row r="170" spans="1:46" s="31" customFormat="1">
      <c r="A170" s="129" t="s">
        <v>108</v>
      </c>
      <c r="B170" s="130" t="s">
        <v>109</v>
      </c>
      <c r="C170" s="423" t="s">
        <v>107</v>
      </c>
      <c r="D170" s="439" t="s">
        <v>111</v>
      </c>
      <c r="E170" s="422"/>
      <c r="F170" s="406"/>
      <c r="G170" s="534"/>
      <c r="H170" s="534"/>
      <c r="I170" s="534"/>
      <c r="J170" s="534"/>
      <c r="K170" s="534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  <c r="Z170" s="534"/>
      <c r="AA170" s="534"/>
      <c r="AB170" s="534"/>
      <c r="AC170" s="534"/>
      <c r="AD170" s="534"/>
      <c r="AE170" s="534"/>
      <c r="AF170" s="534"/>
      <c r="AG170" s="534"/>
      <c r="AH170" s="534"/>
      <c r="AI170" s="534"/>
      <c r="AJ170" s="534"/>
      <c r="AK170" s="534"/>
    </row>
    <row r="171" spans="1:46" s="31" customFormat="1" ht="15.75" thickBot="1">
      <c r="A171" s="437">
        <v>45989</v>
      </c>
      <c r="B171" s="424" t="s">
        <v>224</v>
      </c>
      <c r="C171" s="680">
        <v>462.72</v>
      </c>
      <c r="D171" s="425"/>
      <c r="E171" s="422"/>
      <c r="G171" s="534"/>
      <c r="H171" s="534"/>
      <c r="I171" s="534"/>
      <c r="J171" s="534"/>
      <c r="K171" s="534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  <c r="AA171" s="534"/>
      <c r="AB171" s="534"/>
      <c r="AC171" s="534"/>
      <c r="AD171" s="534"/>
      <c r="AE171" s="534"/>
      <c r="AF171" s="534"/>
      <c r="AG171" s="534"/>
      <c r="AH171" s="534"/>
      <c r="AI171" s="534"/>
      <c r="AJ171" s="534"/>
      <c r="AK171" s="534"/>
    </row>
    <row r="172" spans="1:46" s="43" customFormat="1">
      <c r="A172" s="437">
        <v>45989</v>
      </c>
      <c r="B172" s="424" t="s">
        <v>225</v>
      </c>
      <c r="C172" s="680">
        <v>-10</v>
      </c>
      <c r="D172" s="425"/>
      <c r="E172" s="422"/>
      <c r="F172" s="31"/>
      <c r="G172" s="534"/>
      <c r="H172" s="534"/>
      <c r="I172" s="534"/>
      <c r="J172" s="534"/>
      <c r="K172" s="534"/>
      <c r="L172" s="534"/>
      <c r="M172" s="534"/>
      <c r="N172" s="534"/>
      <c r="O172" s="534"/>
      <c r="P172" s="534"/>
      <c r="Q172" s="534"/>
      <c r="R172" s="534"/>
      <c r="S172" s="534"/>
      <c r="T172" s="534"/>
      <c r="U172" s="534"/>
      <c r="V172" s="534"/>
      <c r="W172" s="534"/>
      <c r="X172" s="534"/>
      <c r="Y172" s="534"/>
      <c r="Z172" s="534"/>
      <c r="AA172" s="534"/>
      <c r="AB172" s="534"/>
      <c r="AC172" s="534"/>
      <c r="AD172" s="534"/>
      <c r="AE172" s="534"/>
      <c r="AF172" s="534"/>
      <c r="AG172" s="534"/>
      <c r="AH172" s="534"/>
      <c r="AI172" s="534"/>
      <c r="AJ172" s="534"/>
      <c r="AK172" s="534"/>
    </row>
    <row r="173" spans="1:46" s="43" customFormat="1">
      <c r="A173" s="437">
        <v>45989</v>
      </c>
      <c r="B173" s="424" t="s">
        <v>226</v>
      </c>
      <c r="C173" s="680">
        <v>-10</v>
      </c>
      <c r="D173" s="425"/>
      <c r="E173" s="422"/>
      <c r="F173" s="31"/>
      <c r="G173" s="534"/>
      <c r="H173" s="534"/>
      <c r="I173" s="534"/>
      <c r="J173" s="534"/>
      <c r="K173" s="534"/>
      <c r="L173" s="534"/>
      <c r="M173" s="534"/>
      <c r="N173" s="534"/>
      <c r="O173" s="534"/>
      <c r="P173" s="534"/>
      <c r="Q173" s="534"/>
      <c r="R173" s="534"/>
      <c r="S173" s="534"/>
      <c r="T173" s="534"/>
      <c r="U173" s="534"/>
      <c r="V173" s="534"/>
      <c r="W173" s="534"/>
      <c r="X173" s="534"/>
      <c r="Y173" s="534"/>
      <c r="Z173" s="534"/>
      <c r="AA173" s="534"/>
      <c r="AB173" s="534"/>
      <c r="AC173" s="534"/>
      <c r="AD173" s="534"/>
      <c r="AE173" s="534"/>
      <c r="AF173" s="534"/>
      <c r="AG173" s="534"/>
      <c r="AH173" s="534"/>
      <c r="AI173" s="534"/>
      <c r="AJ173" s="534"/>
      <c r="AK173" s="534"/>
    </row>
    <row r="174" spans="1:46" s="43" customFormat="1">
      <c r="A174" s="437">
        <v>45989</v>
      </c>
      <c r="B174" s="424" t="s">
        <v>227</v>
      </c>
      <c r="C174" s="680">
        <v>-67.45</v>
      </c>
      <c r="D174" s="425"/>
      <c r="E174" s="422"/>
      <c r="F174" s="31"/>
      <c r="G174" s="534"/>
      <c r="H174" s="534"/>
      <c r="I174" s="534"/>
      <c r="J174" s="534"/>
      <c r="K174" s="534"/>
      <c r="L174" s="534"/>
      <c r="M174" s="534"/>
      <c r="N174" s="534"/>
      <c r="O174" s="534"/>
      <c r="P174" s="534"/>
      <c r="Q174" s="534"/>
      <c r="R174" s="534"/>
      <c r="S174" s="534"/>
      <c r="T174" s="534"/>
      <c r="U174" s="534"/>
      <c r="V174" s="534"/>
      <c r="W174" s="534"/>
      <c r="X174" s="534"/>
      <c r="Y174" s="534"/>
      <c r="Z174" s="534"/>
      <c r="AA174" s="534"/>
      <c r="AB174" s="534"/>
      <c r="AC174" s="534"/>
      <c r="AD174" s="534"/>
      <c r="AE174" s="534"/>
      <c r="AF174" s="534"/>
      <c r="AG174" s="534"/>
      <c r="AH174" s="534"/>
      <c r="AI174" s="534"/>
      <c r="AJ174" s="534"/>
      <c r="AK174" s="534"/>
    </row>
    <row r="175" spans="1:46" s="43" customFormat="1">
      <c r="A175" s="437">
        <v>45989</v>
      </c>
      <c r="B175" s="424" t="s">
        <v>228</v>
      </c>
      <c r="C175" s="680">
        <v>-115.01</v>
      </c>
      <c r="D175" s="425"/>
      <c r="E175" s="422"/>
      <c r="F175" s="31"/>
      <c r="G175" s="534"/>
      <c r="H175" s="534"/>
      <c r="I175" s="534"/>
      <c r="J175" s="534"/>
      <c r="K175" s="534"/>
      <c r="L175" s="534"/>
      <c r="M175" s="534"/>
      <c r="N175" s="534"/>
      <c r="O175" s="534"/>
      <c r="P175" s="534"/>
      <c r="Q175" s="534"/>
      <c r="R175" s="534"/>
      <c r="S175" s="534"/>
      <c r="T175" s="534"/>
      <c r="U175" s="534"/>
      <c r="V175" s="534"/>
      <c r="W175" s="534"/>
      <c r="X175" s="534"/>
      <c r="Y175" s="534"/>
      <c r="Z175" s="534"/>
      <c r="AA175" s="534"/>
      <c r="AB175" s="534"/>
      <c r="AC175" s="534"/>
      <c r="AD175" s="534"/>
      <c r="AE175" s="534"/>
      <c r="AF175" s="534"/>
      <c r="AG175" s="534"/>
      <c r="AH175" s="534"/>
      <c r="AI175" s="534"/>
      <c r="AJ175" s="534"/>
      <c r="AK175" s="534"/>
    </row>
    <row r="176" spans="1:46" s="43" customFormat="1">
      <c r="A176" s="437">
        <v>45989</v>
      </c>
      <c r="B176" s="424" t="s">
        <v>228</v>
      </c>
      <c r="C176" s="680">
        <v>-90.55</v>
      </c>
      <c r="D176" s="425"/>
      <c r="E176" s="422"/>
      <c r="F176" s="31"/>
      <c r="G176" s="534"/>
      <c r="H176" s="534"/>
      <c r="I176" s="534"/>
      <c r="J176" s="534"/>
      <c r="K176" s="534"/>
      <c r="L176" s="534"/>
      <c r="M176" s="534"/>
      <c r="N176" s="534"/>
      <c r="O176" s="534"/>
      <c r="P176" s="534"/>
      <c r="Q176" s="534"/>
      <c r="R176" s="534"/>
      <c r="S176" s="534"/>
      <c r="T176" s="534"/>
      <c r="U176" s="534"/>
      <c r="V176" s="534"/>
      <c r="W176" s="534"/>
      <c r="X176" s="534"/>
      <c r="Y176" s="534"/>
      <c r="Z176" s="534"/>
      <c r="AA176" s="534"/>
      <c r="AB176" s="534"/>
      <c r="AC176" s="534"/>
      <c r="AD176" s="534"/>
      <c r="AE176" s="534"/>
      <c r="AF176" s="534"/>
      <c r="AG176" s="534"/>
      <c r="AH176" s="534"/>
      <c r="AI176" s="534"/>
      <c r="AJ176" s="534"/>
      <c r="AK176" s="534"/>
    </row>
    <row r="177" spans="1:37" s="43" customFormat="1">
      <c r="A177" s="437">
        <v>45989</v>
      </c>
      <c r="B177" s="424" t="s">
        <v>229</v>
      </c>
      <c r="C177" s="680">
        <v>-5443.8</v>
      </c>
      <c r="D177" s="425"/>
      <c r="E177" s="422"/>
      <c r="F177" s="31"/>
      <c r="G177" s="534"/>
      <c r="H177" s="534"/>
      <c r="I177" s="534"/>
      <c r="J177" s="534"/>
      <c r="K177" s="534"/>
      <c r="L177" s="534"/>
      <c r="M177" s="534"/>
      <c r="N177" s="534"/>
      <c r="O177" s="534"/>
      <c r="P177" s="534"/>
      <c r="Q177" s="534"/>
      <c r="R177" s="534"/>
      <c r="S177" s="534"/>
      <c r="T177" s="534"/>
      <c r="U177" s="534"/>
      <c r="V177" s="534"/>
      <c r="W177" s="534"/>
      <c r="X177" s="534"/>
      <c r="Y177" s="534"/>
      <c r="Z177" s="534"/>
      <c r="AA177" s="534"/>
      <c r="AB177" s="534"/>
      <c r="AC177" s="534"/>
      <c r="AD177" s="534"/>
      <c r="AE177" s="534"/>
      <c r="AF177" s="534"/>
      <c r="AG177" s="534"/>
      <c r="AH177" s="534"/>
      <c r="AI177" s="534"/>
      <c r="AJ177" s="534"/>
      <c r="AK177" s="534"/>
    </row>
    <row r="178" spans="1:37" s="43" customFormat="1">
      <c r="A178" s="437">
        <v>45989</v>
      </c>
      <c r="B178" s="424" t="s">
        <v>230</v>
      </c>
      <c r="C178" s="680">
        <v>-32.71</v>
      </c>
      <c r="D178" s="425"/>
      <c r="E178" s="422"/>
      <c r="F178" s="31"/>
      <c r="G178" s="534"/>
      <c r="H178" s="534"/>
      <c r="I178" s="534"/>
      <c r="J178" s="534"/>
      <c r="K178" s="534"/>
      <c r="L178" s="534"/>
      <c r="M178" s="534"/>
      <c r="N178" s="534"/>
      <c r="O178" s="534"/>
      <c r="P178" s="534"/>
      <c r="Q178" s="534"/>
      <c r="R178" s="534"/>
      <c r="S178" s="534"/>
      <c r="T178" s="534"/>
      <c r="U178" s="534"/>
      <c r="V178" s="534"/>
      <c r="W178" s="534"/>
      <c r="X178" s="534"/>
      <c r="Y178" s="534"/>
      <c r="Z178" s="534"/>
      <c r="AA178" s="534"/>
      <c r="AB178" s="534"/>
      <c r="AC178" s="534"/>
      <c r="AD178" s="534"/>
      <c r="AE178" s="534"/>
      <c r="AF178" s="534"/>
      <c r="AG178" s="534"/>
      <c r="AH178" s="534"/>
      <c r="AI178" s="534"/>
      <c r="AJ178" s="534"/>
      <c r="AK178" s="534"/>
    </row>
    <row r="179" spans="1:37" s="43" customFormat="1">
      <c r="A179" s="437">
        <v>45989</v>
      </c>
      <c r="B179" s="424" t="s">
        <v>231</v>
      </c>
      <c r="C179" s="680">
        <v>-135.97999999999999</v>
      </c>
      <c r="D179" s="425"/>
      <c r="E179" s="422"/>
      <c r="F179" s="31"/>
      <c r="G179" s="534"/>
      <c r="H179" s="534"/>
      <c r="I179" s="534"/>
      <c r="J179" s="534"/>
      <c r="K179" s="534"/>
      <c r="L179" s="534"/>
      <c r="M179" s="534"/>
      <c r="N179" s="534"/>
      <c r="O179" s="534"/>
      <c r="P179" s="534"/>
      <c r="Q179" s="534"/>
      <c r="R179" s="534"/>
      <c r="S179" s="534"/>
      <c r="T179" s="534"/>
      <c r="U179" s="534"/>
      <c r="V179" s="534"/>
      <c r="W179" s="534"/>
      <c r="X179" s="534"/>
      <c r="Y179" s="534"/>
      <c r="Z179" s="534"/>
      <c r="AA179" s="534"/>
      <c r="AB179" s="534"/>
      <c r="AC179" s="534"/>
      <c r="AD179" s="534"/>
      <c r="AE179" s="534"/>
      <c r="AF179" s="534"/>
      <c r="AG179" s="534"/>
      <c r="AH179" s="534"/>
      <c r="AI179" s="534"/>
      <c r="AJ179" s="534"/>
      <c r="AK179" s="534"/>
    </row>
    <row r="180" spans="1:37" s="43" customFormat="1">
      <c r="A180" s="437">
        <v>45989</v>
      </c>
      <c r="B180" s="424" t="s">
        <v>232</v>
      </c>
      <c r="C180" s="680">
        <v>-89.84</v>
      </c>
      <c r="D180" s="425"/>
      <c r="E180" s="422"/>
      <c r="F180" s="31"/>
      <c r="G180" s="534"/>
      <c r="H180" s="534"/>
      <c r="I180" s="534"/>
      <c r="J180" s="534"/>
      <c r="K180" s="534"/>
      <c r="L180" s="534"/>
      <c r="M180" s="534"/>
      <c r="N180" s="534"/>
      <c r="O180" s="534"/>
      <c r="P180" s="534"/>
      <c r="Q180" s="534"/>
      <c r="R180" s="534"/>
      <c r="S180" s="534"/>
      <c r="T180" s="534"/>
      <c r="U180" s="534"/>
      <c r="V180" s="534"/>
      <c r="W180" s="534"/>
      <c r="X180" s="534"/>
      <c r="Y180" s="534"/>
      <c r="Z180" s="534"/>
      <c r="AA180" s="534"/>
      <c r="AB180" s="534"/>
      <c r="AC180" s="534"/>
      <c r="AD180" s="534"/>
      <c r="AE180" s="534"/>
      <c r="AF180" s="534"/>
      <c r="AG180" s="534"/>
      <c r="AH180" s="534"/>
      <c r="AI180" s="534"/>
      <c r="AJ180" s="534"/>
      <c r="AK180" s="534"/>
    </row>
    <row r="181" spans="1:37" s="43" customFormat="1">
      <c r="A181" s="437">
        <v>45990</v>
      </c>
      <c r="B181" s="424" t="s">
        <v>233</v>
      </c>
      <c r="C181" s="680">
        <v>-42.24</v>
      </c>
      <c r="D181" s="425"/>
      <c r="E181" s="422"/>
      <c r="F181" s="31"/>
      <c r="G181" s="534"/>
      <c r="H181" s="534"/>
      <c r="I181" s="534"/>
      <c r="J181" s="534"/>
      <c r="K181" s="534"/>
      <c r="L181" s="534"/>
      <c r="M181" s="534"/>
      <c r="N181" s="534"/>
      <c r="O181" s="534"/>
      <c r="P181" s="534"/>
      <c r="Q181" s="534"/>
      <c r="R181" s="534"/>
      <c r="S181" s="534"/>
      <c r="T181" s="534"/>
      <c r="U181" s="534"/>
      <c r="V181" s="534"/>
      <c r="W181" s="534"/>
      <c r="X181" s="534"/>
      <c r="Y181" s="534"/>
      <c r="Z181" s="534"/>
      <c r="AA181" s="534"/>
      <c r="AB181" s="534"/>
      <c r="AC181" s="534"/>
      <c r="AD181" s="534"/>
      <c r="AE181" s="534"/>
      <c r="AF181" s="534"/>
      <c r="AG181" s="534"/>
      <c r="AH181" s="534"/>
      <c r="AI181" s="534"/>
      <c r="AJ181" s="534"/>
      <c r="AK181" s="534"/>
    </row>
    <row r="182" spans="1:37" s="43" customFormat="1">
      <c r="A182" s="437">
        <v>45992</v>
      </c>
      <c r="B182" s="424" t="s">
        <v>234</v>
      </c>
      <c r="C182" s="680">
        <v>-28.31</v>
      </c>
      <c r="D182" s="425"/>
      <c r="E182" s="422"/>
      <c r="F182" s="31"/>
      <c r="G182" s="534"/>
      <c r="H182" s="534"/>
      <c r="I182" s="534"/>
      <c r="J182" s="534"/>
      <c r="K182" s="534"/>
      <c r="L182" s="534"/>
      <c r="M182" s="534"/>
      <c r="N182" s="534"/>
      <c r="O182" s="534"/>
      <c r="P182" s="534"/>
      <c r="Q182" s="534"/>
      <c r="R182" s="534"/>
      <c r="S182" s="534"/>
      <c r="T182" s="534"/>
      <c r="U182" s="534"/>
      <c r="V182" s="534"/>
      <c r="W182" s="534"/>
      <c r="X182" s="534"/>
      <c r="Y182" s="534"/>
      <c r="Z182" s="534"/>
      <c r="AA182" s="534"/>
      <c r="AB182" s="534"/>
      <c r="AC182" s="534"/>
      <c r="AD182" s="534"/>
      <c r="AE182" s="534"/>
      <c r="AF182" s="534"/>
      <c r="AG182" s="534"/>
      <c r="AH182" s="534"/>
      <c r="AI182" s="534"/>
      <c r="AJ182" s="534"/>
      <c r="AK182" s="534"/>
    </row>
    <row r="183" spans="1:37" s="43" customFormat="1">
      <c r="A183" s="437">
        <v>45992</v>
      </c>
      <c r="B183" s="424" t="s">
        <v>235</v>
      </c>
      <c r="C183" s="680">
        <v>-89.85</v>
      </c>
      <c r="D183" s="425"/>
      <c r="E183" s="422"/>
      <c r="F183" s="31"/>
      <c r="G183" s="534"/>
      <c r="H183" s="534"/>
      <c r="I183" s="534"/>
      <c r="J183" s="534"/>
      <c r="K183" s="534"/>
      <c r="L183" s="534"/>
      <c r="M183" s="534"/>
      <c r="N183" s="534"/>
      <c r="O183" s="534"/>
      <c r="P183" s="534"/>
      <c r="Q183" s="534"/>
      <c r="R183" s="534"/>
      <c r="S183" s="534"/>
      <c r="T183" s="534"/>
      <c r="U183" s="534"/>
      <c r="V183" s="534"/>
      <c r="W183" s="534"/>
      <c r="X183" s="534"/>
      <c r="Y183" s="534"/>
      <c r="Z183" s="534"/>
      <c r="AA183" s="534"/>
      <c r="AB183" s="534"/>
      <c r="AC183" s="534"/>
      <c r="AD183" s="534"/>
      <c r="AE183" s="534"/>
      <c r="AF183" s="534"/>
      <c r="AG183" s="534"/>
      <c r="AH183" s="534"/>
      <c r="AI183" s="534"/>
      <c r="AJ183" s="534"/>
      <c r="AK183" s="534"/>
    </row>
    <row r="184" spans="1:37" s="43" customFormat="1">
      <c r="A184" s="437">
        <v>45992</v>
      </c>
      <c r="B184" s="424" t="s">
        <v>236</v>
      </c>
      <c r="C184" s="680">
        <v>-51.59</v>
      </c>
      <c r="D184" s="425"/>
      <c r="E184" s="422"/>
      <c r="F184" s="31"/>
      <c r="G184" s="534"/>
      <c r="H184" s="534"/>
      <c r="I184" s="534"/>
      <c r="J184" s="534"/>
      <c r="K184" s="534"/>
      <c r="L184" s="534"/>
      <c r="M184" s="534"/>
      <c r="N184" s="534"/>
      <c r="O184" s="534"/>
      <c r="P184" s="534"/>
      <c r="Q184" s="534"/>
      <c r="R184" s="534"/>
      <c r="S184" s="534"/>
      <c r="T184" s="534"/>
      <c r="U184" s="534"/>
      <c r="V184" s="534"/>
      <c r="W184" s="534"/>
      <c r="X184" s="534"/>
      <c r="Y184" s="534"/>
      <c r="Z184" s="534"/>
      <c r="AA184" s="534"/>
      <c r="AB184" s="534"/>
      <c r="AC184" s="534"/>
      <c r="AD184" s="534"/>
      <c r="AE184" s="534"/>
      <c r="AF184" s="534"/>
      <c r="AG184" s="534"/>
      <c r="AH184" s="534"/>
      <c r="AI184" s="534"/>
      <c r="AJ184" s="534"/>
      <c r="AK184" s="534"/>
    </row>
    <row r="185" spans="1:37" s="43" customFormat="1">
      <c r="A185" s="437">
        <v>45992</v>
      </c>
      <c r="B185" s="424" t="s">
        <v>237</v>
      </c>
      <c r="C185" s="680">
        <v>-83.23</v>
      </c>
      <c r="D185" s="425"/>
      <c r="E185" s="422"/>
      <c r="F185" s="31"/>
      <c r="G185" s="534"/>
      <c r="H185" s="534"/>
      <c r="I185" s="534"/>
      <c r="J185" s="534"/>
      <c r="K185" s="534"/>
      <c r="L185" s="534"/>
      <c r="M185" s="534"/>
      <c r="N185" s="534"/>
      <c r="O185" s="534"/>
      <c r="P185" s="534"/>
      <c r="Q185" s="534"/>
      <c r="R185" s="534"/>
      <c r="S185" s="534"/>
      <c r="T185" s="534"/>
      <c r="U185" s="534"/>
      <c r="V185" s="534"/>
      <c r="W185" s="534"/>
      <c r="X185" s="534"/>
      <c r="Y185" s="534"/>
      <c r="Z185" s="534"/>
      <c r="AA185" s="534"/>
      <c r="AB185" s="534"/>
      <c r="AC185" s="534"/>
      <c r="AD185" s="534"/>
      <c r="AE185" s="534"/>
      <c r="AF185" s="534"/>
      <c r="AG185" s="534"/>
      <c r="AH185" s="534"/>
      <c r="AI185" s="534"/>
      <c r="AJ185" s="534"/>
      <c r="AK185" s="534"/>
    </row>
    <row r="186" spans="1:37" s="43" customFormat="1">
      <c r="A186" s="437">
        <v>45993</v>
      </c>
      <c r="B186" s="424" t="s">
        <v>238</v>
      </c>
      <c r="C186" s="680">
        <v>-272.92</v>
      </c>
      <c r="D186" s="425"/>
      <c r="E186" s="422"/>
      <c r="F186" s="31"/>
      <c r="G186" s="534"/>
      <c r="H186" s="534"/>
      <c r="I186" s="534"/>
      <c r="J186" s="534"/>
      <c r="K186" s="534"/>
      <c r="L186" s="534"/>
      <c r="M186" s="534"/>
      <c r="N186" s="534"/>
      <c r="O186" s="534"/>
      <c r="P186" s="534"/>
      <c r="Q186" s="534"/>
      <c r="R186" s="534"/>
      <c r="S186" s="534"/>
      <c r="T186" s="534"/>
      <c r="U186" s="534"/>
      <c r="V186" s="534"/>
      <c r="W186" s="534"/>
      <c r="X186" s="534"/>
      <c r="Y186" s="534"/>
      <c r="Z186" s="534"/>
      <c r="AA186" s="534"/>
      <c r="AB186" s="534"/>
      <c r="AC186" s="534"/>
      <c r="AD186" s="534"/>
      <c r="AE186" s="534"/>
      <c r="AF186" s="534"/>
      <c r="AG186" s="534"/>
      <c r="AH186" s="534"/>
      <c r="AI186" s="534"/>
      <c r="AJ186" s="534"/>
      <c r="AK186" s="534"/>
    </row>
    <row r="187" spans="1:37" s="43" customFormat="1">
      <c r="A187" s="437">
        <v>45993</v>
      </c>
      <c r="B187" s="424" t="s">
        <v>239</v>
      </c>
      <c r="C187" s="680">
        <v>-230</v>
      </c>
      <c r="D187" s="425"/>
      <c r="E187" s="422"/>
      <c r="F187" s="31"/>
      <c r="G187" s="534"/>
      <c r="H187" s="534"/>
      <c r="I187" s="534"/>
      <c r="J187" s="534"/>
      <c r="K187" s="534"/>
      <c r="L187" s="534"/>
      <c r="M187" s="534"/>
      <c r="N187" s="534"/>
      <c r="O187" s="534"/>
      <c r="P187" s="534"/>
      <c r="Q187" s="534"/>
      <c r="R187" s="534"/>
      <c r="S187" s="534"/>
      <c r="T187" s="534"/>
      <c r="U187" s="534"/>
      <c r="V187" s="534"/>
      <c r="W187" s="534"/>
      <c r="X187" s="534"/>
      <c r="Y187" s="534"/>
      <c r="Z187" s="534"/>
      <c r="AA187" s="534"/>
      <c r="AB187" s="534"/>
      <c r="AC187" s="534"/>
      <c r="AD187" s="534"/>
      <c r="AE187" s="534"/>
      <c r="AF187" s="534"/>
      <c r="AG187" s="534"/>
      <c r="AH187" s="534"/>
      <c r="AI187" s="534"/>
      <c r="AJ187" s="534"/>
      <c r="AK187" s="534"/>
    </row>
    <row r="188" spans="1:37" s="43" customFormat="1">
      <c r="A188" s="437">
        <v>45993</v>
      </c>
      <c r="B188" s="426" t="s">
        <v>240</v>
      </c>
      <c r="C188" s="680">
        <v>-125.78</v>
      </c>
      <c r="D188" s="425"/>
      <c r="E188" s="422"/>
      <c r="F188" s="31"/>
      <c r="G188" s="534"/>
      <c r="H188" s="534"/>
      <c r="I188" s="534"/>
      <c r="J188" s="534"/>
      <c r="K188" s="534"/>
      <c r="L188" s="534"/>
      <c r="M188" s="534"/>
      <c r="N188" s="534"/>
      <c r="O188" s="534"/>
      <c r="P188" s="534"/>
      <c r="Q188" s="534"/>
      <c r="R188" s="534"/>
      <c r="S188" s="534"/>
      <c r="T188" s="534"/>
      <c r="U188" s="534"/>
      <c r="V188" s="534"/>
      <c r="W188" s="534"/>
      <c r="X188" s="534"/>
      <c r="Y188" s="534"/>
      <c r="Z188" s="534"/>
      <c r="AA188" s="534"/>
      <c r="AB188" s="534"/>
      <c r="AC188" s="534"/>
      <c r="AD188" s="534"/>
      <c r="AE188" s="534"/>
      <c r="AF188" s="534"/>
      <c r="AG188" s="534"/>
      <c r="AH188" s="534"/>
      <c r="AI188" s="534"/>
      <c r="AJ188" s="534"/>
      <c r="AK188" s="534"/>
    </row>
    <row r="189" spans="1:37" s="43" customFormat="1">
      <c r="A189" s="437">
        <v>45994</v>
      </c>
      <c r="B189" s="426" t="s">
        <v>231</v>
      </c>
      <c r="C189" s="680">
        <v>-44.99</v>
      </c>
      <c r="D189" s="425"/>
      <c r="E189" s="422"/>
      <c r="F189" s="31"/>
      <c r="G189" s="534"/>
      <c r="H189" s="534"/>
      <c r="I189" s="534"/>
      <c r="J189" s="534"/>
      <c r="K189" s="534"/>
      <c r="L189" s="534"/>
      <c r="M189" s="534"/>
      <c r="N189" s="534"/>
      <c r="O189" s="534"/>
      <c r="P189" s="534"/>
      <c r="Q189" s="534"/>
      <c r="R189" s="534"/>
      <c r="S189" s="534"/>
      <c r="T189" s="534"/>
      <c r="U189" s="534"/>
      <c r="V189" s="534"/>
      <c r="W189" s="534"/>
      <c r="X189" s="534"/>
      <c r="Y189" s="534"/>
      <c r="Z189" s="534"/>
      <c r="AA189" s="534"/>
      <c r="AB189" s="534"/>
      <c r="AC189" s="534"/>
      <c r="AD189" s="534"/>
      <c r="AE189" s="534"/>
      <c r="AF189" s="534"/>
      <c r="AG189" s="534"/>
      <c r="AH189" s="534"/>
      <c r="AI189" s="534"/>
      <c r="AJ189" s="534"/>
      <c r="AK189" s="534"/>
    </row>
    <row r="190" spans="1:37" s="43" customFormat="1">
      <c r="A190" s="437">
        <v>45994</v>
      </c>
      <c r="B190" s="426" t="s">
        <v>241</v>
      </c>
      <c r="C190" s="680">
        <v>-31.46</v>
      </c>
      <c r="D190" s="425"/>
      <c r="E190" s="422"/>
      <c r="F190" s="31"/>
      <c r="G190" s="534"/>
      <c r="H190" s="534"/>
      <c r="I190" s="534"/>
      <c r="J190" s="534"/>
      <c r="K190" s="534"/>
      <c r="L190" s="534"/>
      <c r="M190" s="534"/>
      <c r="N190" s="534"/>
      <c r="O190" s="534"/>
      <c r="P190" s="534"/>
      <c r="Q190" s="534"/>
      <c r="R190" s="534"/>
      <c r="S190" s="534"/>
      <c r="T190" s="534"/>
      <c r="U190" s="534"/>
      <c r="V190" s="534"/>
      <c r="W190" s="534"/>
      <c r="X190" s="534"/>
      <c r="Y190" s="534"/>
      <c r="Z190" s="534"/>
      <c r="AA190" s="534"/>
      <c r="AB190" s="534"/>
      <c r="AC190" s="534"/>
      <c r="AD190" s="534"/>
      <c r="AE190" s="534"/>
      <c r="AF190" s="534"/>
      <c r="AG190" s="534"/>
      <c r="AH190" s="534"/>
      <c r="AI190" s="534"/>
      <c r="AJ190" s="534"/>
      <c r="AK190" s="534"/>
    </row>
    <row r="191" spans="1:37" s="43" customFormat="1">
      <c r="A191" s="437">
        <v>45994</v>
      </c>
      <c r="B191" s="426" t="s">
        <v>242</v>
      </c>
      <c r="C191" s="680">
        <v>-62.06</v>
      </c>
      <c r="D191" s="425"/>
      <c r="E191" s="422"/>
      <c r="F191" s="31"/>
      <c r="G191" s="534"/>
      <c r="H191" s="534"/>
      <c r="I191" s="534"/>
      <c r="J191" s="534"/>
      <c r="K191" s="534"/>
      <c r="L191" s="534"/>
      <c r="M191" s="534"/>
      <c r="N191" s="534"/>
      <c r="O191" s="534"/>
      <c r="P191" s="534"/>
      <c r="Q191" s="534"/>
      <c r="R191" s="534"/>
      <c r="S191" s="534"/>
      <c r="T191" s="534"/>
      <c r="U191" s="534"/>
      <c r="V191" s="534"/>
      <c r="W191" s="534"/>
      <c r="X191" s="534"/>
      <c r="Y191" s="534"/>
      <c r="Z191" s="534"/>
      <c r="AA191" s="534"/>
      <c r="AB191" s="534"/>
      <c r="AC191" s="534"/>
      <c r="AD191" s="534"/>
      <c r="AE191" s="534"/>
      <c r="AF191" s="534"/>
      <c r="AG191" s="534"/>
      <c r="AH191" s="534"/>
      <c r="AI191" s="534"/>
      <c r="AJ191" s="534"/>
      <c r="AK191" s="534"/>
    </row>
    <row r="192" spans="1:37" s="43" customFormat="1">
      <c r="A192" s="437">
        <v>45999</v>
      </c>
      <c r="B192" s="426" t="s">
        <v>243</v>
      </c>
      <c r="C192" s="680">
        <v>186.17</v>
      </c>
      <c r="D192" s="425"/>
      <c r="E192" s="422"/>
      <c r="F192" s="31"/>
      <c r="G192" s="534"/>
      <c r="H192" s="534"/>
      <c r="I192" s="534"/>
      <c r="J192" s="534"/>
      <c r="K192" s="534"/>
      <c r="L192" s="534"/>
      <c r="M192" s="534"/>
      <c r="N192" s="534"/>
      <c r="O192" s="534"/>
      <c r="P192" s="534"/>
      <c r="Q192" s="534"/>
      <c r="R192" s="534"/>
      <c r="S192" s="534"/>
      <c r="T192" s="534"/>
      <c r="U192" s="534"/>
      <c r="V192" s="534"/>
      <c r="W192" s="534"/>
      <c r="X192" s="534"/>
      <c r="Y192" s="534"/>
      <c r="Z192" s="534"/>
      <c r="AA192" s="534"/>
      <c r="AB192" s="534"/>
      <c r="AC192" s="534"/>
      <c r="AD192" s="534"/>
      <c r="AE192" s="534"/>
      <c r="AF192" s="534"/>
      <c r="AG192" s="534"/>
      <c r="AH192" s="534"/>
      <c r="AI192" s="534"/>
      <c r="AJ192" s="534"/>
      <c r="AK192" s="534"/>
    </row>
    <row r="193" spans="1:37" s="43" customFormat="1">
      <c r="A193" s="437">
        <v>45999</v>
      </c>
      <c r="B193" s="426" t="s">
        <v>224</v>
      </c>
      <c r="C193" s="680">
        <v>-428</v>
      </c>
      <c r="D193" s="425"/>
      <c r="E193" s="422"/>
      <c r="F193" s="31"/>
      <c r="G193" s="534"/>
      <c r="H193" s="534"/>
      <c r="I193" s="534"/>
      <c r="J193" s="534"/>
      <c r="K193" s="534"/>
      <c r="L193" s="534"/>
      <c r="M193" s="534"/>
      <c r="N193" s="534"/>
      <c r="O193" s="534"/>
      <c r="P193" s="534"/>
      <c r="Q193" s="534"/>
      <c r="R193" s="534"/>
      <c r="S193" s="534"/>
      <c r="T193" s="534"/>
      <c r="U193" s="534"/>
      <c r="V193" s="534"/>
      <c r="W193" s="534"/>
      <c r="X193" s="534"/>
      <c r="Y193" s="534"/>
      <c r="Z193" s="534"/>
      <c r="AA193" s="534"/>
      <c r="AB193" s="534"/>
      <c r="AC193" s="534"/>
      <c r="AD193" s="534"/>
      <c r="AE193" s="534"/>
      <c r="AF193" s="534"/>
      <c r="AG193" s="534"/>
      <c r="AH193" s="534"/>
      <c r="AI193" s="534"/>
      <c r="AJ193" s="534"/>
      <c r="AK193" s="534"/>
    </row>
    <row r="194" spans="1:37" s="43" customFormat="1">
      <c r="A194" s="437">
        <v>45999</v>
      </c>
      <c r="B194" s="426" t="s">
        <v>244</v>
      </c>
      <c r="C194" s="680">
        <v>-14.95</v>
      </c>
      <c r="D194" s="425"/>
      <c r="E194" s="422"/>
      <c r="F194" s="31"/>
      <c r="G194" s="534"/>
      <c r="H194" s="534"/>
      <c r="I194" s="534"/>
      <c r="J194" s="534"/>
      <c r="K194" s="534"/>
      <c r="L194" s="534"/>
      <c r="M194" s="534"/>
      <c r="N194" s="534"/>
      <c r="O194" s="534"/>
      <c r="P194" s="534"/>
      <c r="Q194" s="534"/>
      <c r="R194" s="534"/>
      <c r="S194" s="534"/>
      <c r="T194" s="534"/>
      <c r="U194" s="534"/>
      <c r="V194" s="534"/>
      <c r="W194" s="534"/>
      <c r="X194" s="534"/>
      <c r="Y194" s="534"/>
      <c r="Z194" s="534"/>
      <c r="AA194" s="534"/>
      <c r="AB194" s="534"/>
      <c r="AC194" s="534"/>
      <c r="AD194" s="534"/>
      <c r="AE194" s="534"/>
      <c r="AF194" s="534"/>
      <c r="AG194" s="534"/>
      <c r="AH194" s="534"/>
      <c r="AI194" s="534"/>
      <c r="AJ194" s="534"/>
      <c r="AK194" s="534"/>
    </row>
    <row r="195" spans="1:37" s="43" customFormat="1">
      <c r="A195" s="437">
        <v>45999</v>
      </c>
      <c r="B195" s="426" t="s">
        <v>242</v>
      </c>
      <c r="C195" s="680">
        <v>-44.94</v>
      </c>
      <c r="D195" s="425"/>
      <c r="E195" s="422"/>
      <c r="F195" s="31"/>
      <c r="G195" s="534"/>
      <c r="H195" s="534"/>
      <c r="I195" s="534"/>
      <c r="J195" s="534"/>
      <c r="K195" s="534"/>
      <c r="L195" s="534"/>
      <c r="M195" s="534"/>
      <c r="N195" s="534"/>
      <c r="O195" s="534"/>
      <c r="P195" s="534"/>
      <c r="Q195" s="534"/>
      <c r="R195" s="534"/>
      <c r="S195" s="534"/>
      <c r="T195" s="534"/>
      <c r="U195" s="534"/>
      <c r="V195" s="534"/>
      <c r="W195" s="534"/>
      <c r="X195" s="534"/>
      <c r="Y195" s="534"/>
      <c r="Z195" s="534"/>
      <c r="AA195" s="534"/>
      <c r="AB195" s="534"/>
      <c r="AC195" s="534"/>
      <c r="AD195" s="534"/>
      <c r="AE195" s="534"/>
      <c r="AF195" s="534"/>
      <c r="AG195" s="534"/>
      <c r="AH195" s="534"/>
      <c r="AI195" s="534"/>
      <c r="AJ195" s="534"/>
      <c r="AK195" s="534"/>
    </row>
    <row r="196" spans="1:37" s="43" customFormat="1">
      <c r="A196" s="437">
        <v>46000</v>
      </c>
      <c r="B196" s="426" t="s">
        <v>245</v>
      </c>
      <c r="C196" s="680">
        <v>-9.4</v>
      </c>
      <c r="D196" s="425"/>
      <c r="E196" s="422"/>
      <c r="F196" s="31"/>
      <c r="G196" s="534"/>
      <c r="H196" s="534"/>
      <c r="I196" s="534"/>
      <c r="J196" s="534"/>
      <c r="K196" s="534"/>
      <c r="L196" s="534"/>
      <c r="M196" s="534"/>
      <c r="N196" s="534"/>
      <c r="O196" s="534"/>
      <c r="P196" s="534"/>
      <c r="Q196" s="534"/>
      <c r="R196" s="534"/>
      <c r="S196" s="534"/>
      <c r="T196" s="534"/>
      <c r="U196" s="534"/>
      <c r="V196" s="534"/>
      <c r="W196" s="534"/>
      <c r="X196" s="534"/>
      <c r="Y196" s="534"/>
      <c r="Z196" s="534"/>
      <c r="AA196" s="534"/>
      <c r="AB196" s="534"/>
      <c r="AC196" s="534"/>
      <c r="AD196" s="534"/>
      <c r="AE196" s="534"/>
      <c r="AF196" s="534"/>
      <c r="AG196" s="534"/>
      <c r="AH196" s="534"/>
      <c r="AI196" s="534"/>
      <c r="AJ196" s="534"/>
      <c r="AK196" s="534"/>
    </row>
    <row r="197" spans="1:37" s="43" customFormat="1">
      <c r="A197" s="437">
        <v>46001</v>
      </c>
      <c r="B197" s="426" t="s">
        <v>246</v>
      </c>
      <c r="C197" s="680">
        <v>-274.99</v>
      </c>
      <c r="D197" s="425"/>
      <c r="E197" s="422"/>
      <c r="F197" s="31"/>
      <c r="G197" s="534"/>
      <c r="H197" s="534"/>
      <c r="I197" s="534"/>
      <c r="J197" s="534"/>
      <c r="K197" s="534"/>
      <c r="L197" s="534"/>
      <c r="M197" s="534"/>
      <c r="N197" s="534"/>
      <c r="O197" s="534"/>
      <c r="P197" s="534"/>
      <c r="Q197" s="534"/>
      <c r="R197" s="534"/>
      <c r="S197" s="534"/>
      <c r="T197" s="534"/>
      <c r="U197" s="534"/>
      <c r="V197" s="534"/>
      <c r="W197" s="534"/>
      <c r="X197" s="534"/>
      <c r="Y197" s="534"/>
      <c r="Z197" s="534"/>
      <c r="AA197" s="534"/>
      <c r="AB197" s="534"/>
      <c r="AC197" s="534"/>
      <c r="AD197" s="534"/>
      <c r="AE197" s="534"/>
      <c r="AF197" s="534"/>
      <c r="AG197" s="534"/>
      <c r="AH197" s="534"/>
      <c r="AI197" s="534"/>
      <c r="AJ197" s="534"/>
      <c r="AK197" s="534"/>
    </row>
    <row r="198" spans="1:37" s="43" customFormat="1">
      <c r="A198" s="437">
        <v>46003</v>
      </c>
      <c r="B198" s="426" t="s">
        <v>229</v>
      </c>
      <c r="C198" s="680">
        <v>1230.5</v>
      </c>
      <c r="D198" s="425"/>
      <c r="E198" s="422"/>
      <c r="F198" s="31"/>
      <c r="G198" s="534"/>
      <c r="H198" s="534"/>
      <c r="I198" s="534"/>
      <c r="J198" s="534"/>
      <c r="K198" s="534"/>
      <c r="L198" s="534"/>
      <c r="M198" s="534"/>
      <c r="N198" s="534"/>
      <c r="O198" s="534"/>
      <c r="P198" s="534"/>
      <c r="Q198" s="534"/>
      <c r="R198" s="534"/>
      <c r="S198" s="534"/>
      <c r="T198" s="534"/>
      <c r="U198" s="534"/>
      <c r="V198" s="534"/>
      <c r="W198" s="534"/>
      <c r="X198" s="534"/>
      <c r="Y198" s="534"/>
      <c r="Z198" s="534"/>
      <c r="AA198" s="534"/>
      <c r="AB198" s="534"/>
      <c r="AC198" s="534"/>
      <c r="AD198" s="534"/>
      <c r="AE198" s="534"/>
      <c r="AF198" s="534"/>
      <c r="AG198" s="534"/>
      <c r="AH198" s="534"/>
      <c r="AI198" s="534"/>
      <c r="AJ198" s="534"/>
      <c r="AK198" s="534"/>
    </row>
    <row r="199" spans="1:37" s="43" customFormat="1">
      <c r="A199" s="437">
        <v>46003</v>
      </c>
      <c r="B199" s="426" t="s">
        <v>247</v>
      </c>
      <c r="C199" s="680">
        <v>-140.28</v>
      </c>
      <c r="D199" s="425"/>
      <c r="E199" s="422"/>
      <c r="F199" s="31"/>
      <c r="G199" s="534"/>
      <c r="H199" s="534"/>
      <c r="I199" s="534"/>
      <c r="J199" s="534"/>
      <c r="K199" s="534"/>
      <c r="L199" s="534"/>
      <c r="M199" s="534"/>
      <c r="N199" s="534"/>
      <c r="O199" s="534"/>
      <c r="P199" s="534"/>
      <c r="Q199" s="534"/>
      <c r="R199" s="534"/>
      <c r="S199" s="534"/>
      <c r="T199" s="534"/>
      <c r="U199" s="534"/>
      <c r="V199" s="534"/>
      <c r="W199" s="534"/>
      <c r="X199" s="534"/>
      <c r="Y199" s="534"/>
      <c r="Z199" s="534"/>
      <c r="AA199" s="534"/>
      <c r="AB199" s="534"/>
      <c r="AC199" s="534"/>
      <c r="AD199" s="534"/>
      <c r="AE199" s="534"/>
      <c r="AF199" s="534"/>
      <c r="AG199" s="534"/>
      <c r="AH199" s="534"/>
      <c r="AI199" s="534"/>
      <c r="AJ199" s="534"/>
      <c r="AK199" s="534"/>
    </row>
    <row r="200" spans="1:37" s="43" customFormat="1">
      <c r="A200" s="437">
        <v>46004</v>
      </c>
      <c r="B200" s="426" t="s">
        <v>248</v>
      </c>
      <c r="C200" s="680">
        <v>-69.88</v>
      </c>
      <c r="D200" s="425"/>
      <c r="E200" s="422"/>
      <c r="F200" s="31"/>
      <c r="G200" s="534"/>
      <c r="H200" s="534"/>
      <c r="I200" s="534"/>
      <c r="J200" s="534"/>
      <c r="K200" s="534"/>
      <c r="L200" s="534"/>
      <c r="M200" s="534"/>
      <c r="N200" s="534"/>
      <c r="O200" s="534"/>
      <c r="P200" s="534"/>
      <c r="Q200" s="534"/>
      <c r="R200" s="534"/>
      <c r="S200" s="534"/>
      <c r="T200" s="534"/>
      <c r="U200" s="534"/>
      <c r="V200" s="534"/>
      <c r="W200" s="534"/>
      <c r="X200" s="534"/>
      <c r="Y200" s="534"/>
      <c r="Z200" s="534"/>
      <c r="AA200" s="534"/>
      <c r="AB200" s="534"/>
      <c r="AC200" s="534"/>
      <c r="AD200" s="534"/>
      <c r="AE200" s="534"/>
      <c r="AF200" s="534"/>
      <c r="AG200" s="534"/>
      <c r="AH200" s="534"/>
      <c r="AI200" s="534"/>
      <c r="AJ200" s="534"/>
      <c r="AK200" s="534"/>
    </row>
    <row r="201" spans="1:37" s="43" customFormat="1">
      <c r="A201" s="437">
        <v>46004</v>
      </c>
      <c r="B201" s="426" t="s">
        <v>249</v>
      </c>
      <c r="C201" s="680">
        <v>-110</v>
      </c>
      <c r="D201" s="425"/>
      <c r="E201" s="422"/>
      <c r="F201" s="31"/>
      <c r="G201" s="534"/>
      <c r="H201" s="534"/>
      <c r="I201" s="534"/>
      <c r="J201" s="534"/>
      <c r="K201" s="534"/>
      <c r="L201" s="534"/>
      <c r="M201" s="534"/>
      <c r="N201" s="534"/>
      <c r="O201" s="534"/>
      <c r="P201" s="534"/>
      <c r="Q201" s="534"/>
      <c r="R201" s="534"/>
      <c r="S201" s="534"/>
      <c r="T201" s="534"/>
      <c r="U201" s="534"/>
      <c r="V201" s="534"/>
      <c r="W201" s="534"/>
      <c r="X201" s="534"/>
      <c r="Y201" s="534"/>
      <c r="Z201" s="534"/>
      <c r="AA201" s="534"/>
      <c r="AB201" s="534"/>
      <c r="AC201" s="534"/>
      <c r="AD201" s="534"/>
      <c r="AE201" s="534"/>
      <c r="AF201" s="534"/>
      <c r="AG201" s="534"/>
      <c r="AH201" s="534"/>
      <c r="AI201" s="534"/>
      <c r="AJ201" s="534"/>
      <c r="AK201" s="534"/>
    </row>
    <row r="202" spans="1:37" s="43" customFormat="1">
      <c r="A202" s="437">
        <v>46006</v>
      </c>
      <c r="B202" s="426" t="s">
        <v>250</v>
      </c>
      <c r="C202" s="680">
        <v>-231.12</v>
      </c>
      <c r="D202" s="425"/>
      <c r="E202" s="422"/>
      <c r="F202" s="31"/>
      <c r="G202" s="534"/>
      <c r="H202" s="534"/>
      <c r="I202" s="534"/>
      <c r="J202" s="534"/>
      <c r="K202" s="534"/>
      <c r="L202" s="534"/>
      <c r="M202" s="534"/>
      <c r="N202" s="534"/>
      <c r="O202" s="534"/>
      <c r="P202" s="534"/>
      <c r="Q202" s="534"/>
      <c r="R202" s="534"/>
      <c r="S202" s="534"/>
      <c r="T202" s="534"/>
      <c r="U202" s="534"/>
      <c r="V202" s="534"/>
      <c r="W202" s="534"/>
      <c r="X202" s="534"/>
      <c r="Y202" s="534"/>
      <c r="Z202" s="534"/>
      <c r="AA202" s="534"/>
      <c r="AB202" s="534"/>
      <c r="AC202" s="534"/>
      <c r="AD202" s="534"/>
      <c r="AE202" s="534"/>
      <c r="AF202" s="534"/>
      <c r="AG202" s="534"/>
      <c r="AH202" s="534"/>
      <c r="AI202" s="534"/>
      <c r="AJ202" s="534"/>
      <c r="AK202" s="534"/>
    </row>
    <row r="203" spans="1:37" s="43" customFormat="1">
      <c r="A203" s="437">
        <v>46006</v>
      </c>
      <c r="B203" s="426" t="s">
        <v>236</v>
      </c>
      <c r="C203" s="680">
        <v>-114.67</v>
      </c>
      <c r="D203" s="425"/>
      <c r="E203" s="422"/>
      <c r="F203" s="31"/>
      <c r="G203" s="534"/>
      <c r="H203" s="534"/>
      <c r="I203" s="534"/>
      <c r="J203" s="534"/>
      <c r="K203" s="534"/>
      <c r="L203" s="534"/>
      <c r="M203" s="534"/>
      <c r="N203" s="534"/>
      <c r="O203" s="534"/>
      <c r="P203" s="534"/>
      <c r="Q203" s="534"/>
      <c r="R203" s="534"/>
      <c r="S203" s="534"/>
      <c r="T203" s="534"/>
      <c r="U203" s="534"/>
      <c r="V203" s="534"/>
      <c r="W203" s="534"/>
      <c r="X203" s="534"/>
      <c r="Y203" s="534"/>
      <c r="Z203" s="534"/>
      <c r="AA203" s="534"/>
      <c r="AB203" s="534"/>
      <c r="AC203" s="534"/>
      <c r="AD203" s="534"/>
      <c r="AE203" s="534"/>
      <c r="AF203" s="534"/>
      <c r="AG203" s="534"/>
      <c r="AH203" s="534"/>
      <c r="AI203" s="534"/>
      <c r="AJ203" s="534"/>
      <c r="AK203" s="534"/>
    </row>
    <row r="204" spans="1:37" s="43" customFormat="1">
      <c r="A204" s="437">
        <v>46006</v>
      </c>
      <c r="B204" s="426" t="s">
        <v>251</v>
      </c>
      <c r="C204" s="680">
        <v>-1.95</v>
      </c>
      <c r="D204" s="425"/>
      <c r="E204" s="422"/>
      <c r="F204" s="31"/>
      <c r="G204" s="534"/>
      <c r="H204" s="534"/>
      <c r="I204" s="534"/>
      <c r="J204" s="534"/>
      <c r="K204" s="534"/>
      <c r="L204" s="534"/>
      <c r="M204" s="534"/>
      <c r="N204" s="534"/>
      <c r="O204" s="534"/>
      <c r="P204" s="534"/>
      <c r="Q204" s="534"/>
      <c r="R204" s="534"/>
      <c r="S204" s="534"/>
      <c r="T204" s="534"/>
      <c r="U204" s="534"/>
      <c r="V204" s="534"/>
      <c r="W204" s="534"/>
      <c r="X204" s="534"/>
      <c r="Y204" s="534"/>
      <c r="Z204" s="534"/>
      <c r="AA204" s="534"/>
      <c r="AB204" s="534"/>
      <c r="AC204" s="534"/>
      <c r="AD204" s="534"/>
      <c r="AE204" s="534"/>
      <c r="AF204" s="534"/>
      <c r="AG204" s="534"/>
      <c r="AH204" s="534"/>
      <c r="AI204" s="534"/>
      <c r="AJ204" s="534"/>
      <c r="AK204" s="534"/>
    </row>
    <row r="205" spans="1:37" s="43" customFormat="1">
      <c r="A205" s="437">
        <v>46007</v>
      </c>
      <c r="B205" s="426" t="s">
        <v>252</v>
      </c>
      <c r="C205" s="680">
        <v>-41.41</v>
      </c>
      <c r="D205" s="425"/>
      <c r="E205" s="422"/>
      <c r="F205" s="31"/>
      <c r="G205" s="534"/>
      <c r="H205" s="534"/>
      <c r="I205" s="534"/>
      <c r="J205" s="534"/>
      <c r="K205" s="534"/>
      <c r="L205" s="534"/>
      <c r="M205" s="534"/>
      <c r="N205" s="534"/>
      <c r="O205" s="534"/>
      <c r="P205" s="534"/>
      <c r="Q205" s="534"/>
      <c r="R205" s="534"/>
      <c r="S205" s="534"/>
      <c r="T205" s="534"/>
      <c r="U205" s="534"/>
      <c r="V205" s="534"/>
      <c r="W205" s="534"/>
      <c r="X205" s="534"/>
      <c r="Y205" s="534"/>
      <c r="Z205" s="534"/>
      <c r="AA205" s="534"/>
      <c r="AB205" s="534"/>
      <c r="AC205" s="534"/>
      <c r="AD205" s="534"/>
      <c r="AE205" s="534"/>
      <c r="AF205" s="534"/>
      <c r="AG205" s="534"/>
      <c r="AH205" s="534"/>
      <c r="AI205" s="534"/>
      <c r="AJ205" s="534"/>
      <c r="AK205" s="534"/>
    </row>
    <row r="206" spans="1:37" s="43" customFormat="1">
      <c r="A206" s="437">
        <v>46008</v>
      </c>
      <c r="B206" s="426" t="s">
        <v>253</v>
      </c>
      <c r="C206" s="680">
        <v>-29.96</v>
      </c>
      <c r="D206" s="425"/>
      <c r="E206" s="422"/>
      <c r="F206" s="31"/>
      <c r="G206" s="534"/>
      <c r="H206" s="534"/>
      <c r="I206" s="534"/>
      <c r="J206" s="534"/>
      <c r="K206" s="534"/>
      <c r="L206" s="534"/>
      <c r="M206" s="534"/>
      <c r="N206" s="534"/>
      <c r="O206" s="534"/>
      <c r="P206" s="534"/>
      <c r="Q206" s="534"/>
      <c r="R206" s="534"/>
      <c r="S206" s="534"/>
      <c r="T206" s="534"/>
      <c r="U206" s="534"/>
      <c r="V206" s="534"/>
      <c r="W206" s="534"/>
      <c r="X206" s="534"/>
      <c r="Y206" s="534"/>
      <c r="Z206" s="534"/>
      <c r="AA206" s="534"/>
      <c r="AB206" s="534"/>
      <c r="AC206" s="534"/>
      <c r="AD206" s="534"/>
      <c r="AE206" s="534"/>
      <c r="AF206" s="534"/>
      <c r="AG206" s="534"/>
      <c r="AH206" s="534"/>
      <c r="AI206" s="534"/>
      <c r="AJ206" s="534"/>
      <c r="AK206" s="534"/>
    </row>
    <row r="207" spans="1:37" s="43" customFormat="1">
      <c r="A207" s="437">
        <v>46008</v>
      </c>
      <c r="B207" s="426" t="s">
        <v>254</v>
      </c>
      <c r="C207" s="680">
        <v>-11.99</v>
      </c>
      <c r="D207" s="425"/>
      <c r="E207" s="422"/>
      <c r="F207" s="31"/>
      <c r="G207" s="534"/>
      <c r="H207" s="534"/>
      <c r="I207" s="534"/>
      <c r="J207" s="534"/>
      <c r="K207" s="534"/>
      <c r="L207" s="534"/>
      <c r="M207" s="534"/>
      <c r="N207" s="534"/>
      <c r="O207" s="534"/>
      <c r="P207" s="534"/>
      <c r="Q207" s="534"/>
      <c r="R207" s="534"/>
      <c r="S207" s="534"/>
      <c r="T207" s="534"/>
      <c r="U207" s="534"/>
      <c r="V207" s="534"/>
      <c r="W207" s="534"/>
      <c r="X207" s="534"/>
      <c r="Y207" s="534"/>
      <c r="Z207" s="534"/>
      <c r="AA207" s="534"/>
      <c r="AB207" s="534"/>
      <c r="AC207" s="534"/>
      <c r="AD207" s="534"/>
      <c r="AE207" s="534"/>
      <c r="AF207" s="534"/>
      <c r="AG207" s="534"/>
      <c r="AH207" s="534"/>
      <c r="AI207" s="534"/>
      <c r="AJ207" s="534"/>
      <c r="AK207" s="534"/>
    </row>
    <row r="208" spans="1:37" s="43" customFormat="1">
      <c r="A208" s="437">
        <v>46008</v>
      </c>
      <c r="B208" s="426" t="s">
        <v>255</v>
      </c>
      <c r="C208" s="680">
        <v>-374.5</v>
      </c>
      <c r="D208" s="425"/>
      <c r="E208" s="422"/>
      <c r="F208" s="31"/>
      <c r="G208" s="534"/>
      <c r="H208" s="534"/>
      <c r="I208" s="534"/>
      <c r="J208" s="534"/>
      <c r="K208" s="534"/>
      <c r="L208" s="534"/>
      <c r="M208" s="534"/>
      <c r="N208" s="534"/>
      <c r="O208" s="534"/>
      <c r="P208" s="534"/>
      <c r="Q208" s="534"/>
      <c r="R208" s="534"/>
      <c r="S208" s="534"/>
      <c r="T208" s="534"/>
      <c r="U208" s="534"/>
      <c r="V208" s="534"/>
      <c r="W208" s="534"/>
      <c r="X208" s="534"/>
      <c r="Y208" s="534"/>
      <c r="Z208" s="534"/>
      <c r="AA208" s="534"/>
      <c r="AB208" s="534"/>
      <c r="AC208" s="534"/>
      <c r="AD208" s="534"/>
      <c r="AE208" s="534"/>
      <c r="AF208" s="534"/>
      <c r="AG208" s="534"/>
      <c r="AH208" s="534"/>
      <c r="AI208" s="534"/>
      <c r="AJ208" s="534"/>
      <c r="AK208" s="534"/>
    </row>
    <row r="209" spans="1:37" s="43" customFormat="1">
      <c r="A209" s="437">
        <v>46009</v>
      </c>
      <c r="B209" s="626" t="s">
        <v>250</v>
      </c>
      <c r="C209" s="680">
        <v>-353.1</v>
      </c>
      <c r="D209" s="681"/>
      <c r="E209" s="422"/>
      <c r="F209" s="31"/>
      <c r="G209" s="534"/>
      <c r="H209" s="534"/>
      <c r="I209" s="534"/>
      <c r="J209" s="534"/>
      <c r="K209" s="534"/>
      <c r="L209" s="534"/>
      <c r="M209" s="534"/>
      <c r="N209" s="534"/>
      <c r="O209" s="534"/>
      <c r="P209" s="534"/>
      <c r="Q209" s="534"/>
      <c r="R209" s="534"/>
      <c r="S209" s="534"/>
      <c r="T209" s="534"/>
      <c r="U209" s="534"/>
      <c r="V209" s="534"/>
      <c r="W209" s="534"/>
      <c r="X209" s="534"/>
      <c r="Y209" s="534"/>
      <c r="Z209" s="534"/>
      <c r="AA209" s="534"/>
      <c r="AB209" s="534"/>
      <c r="AC209" s="534"/>
      <c r="AD209" s="534"/>
      <c r="AE209" s="534"/>
      <c r="AF209" s="534"/>
      <c r="AG209" s="534"/>
      <c r="AH209" s="534"/>
      <c r="AI209" s="534"/>
      <c r="AJ209" s="534"/>
      <c r="AK209" s="534"/>
    </row>
    <row r="210" spans="1:37" s="43" customFormat="1">
      <c r="A210" s="437">
        <v>46010</v>
      </c>
      <c r="B210" s="626" t="s">
        <v>256</v>
      </c>
      <c r="C210" s="680">
        <v>-22.87</v>
      </c>
      <c r="D210" s="681"/>
      <c r="E210" s="422"/>
      <c r="F210" s="31"/>
      <c r="G210" s="534"/>
      <c r="H210" s="534"/>
      <c r="I210" s="534"/>
      <c r="J210" s="534"/>
      <c r="K210" s="534"/>
      <c r="L210" s="534"/>
      <c r="M210" s="534"/>
      <c r="N210" s="534"/>
      <c r="O210" s="534"/>
      <c r="P210" s="534"/>
      <c r="Q210" s="534"/>
      <c r="R210" s="534"/>
      <c r="S210" s="534"/>
      <c r="T210" s="534"/>
      <c r="U210" s="534"/>
      <c r="V210" s="534"/>
      <c r="W210" s="534"/>
      <c r="X210" s="534"/>
      <c r="Y210" s="534"/>
      <c r="Z210" s="534"/>
      <c r="AA210" s="534"/>
      <c r="AB210" s="534"/>
      <c r="AC210" s="534"/>
      <c r="AD210" s="534"/>
      <c r="AE210" s="534"/>
      <c r="AF210" s="534"/>
      <c r="AG210" s="534"/>
      <c r="AH210" s="534"/>
      <c r="AI210" s="534"/>
      <c r="AJ210" s="534"/>
      <c r="AK210" s="534"/>
    </row>
    <row r="211" spans="1:37" s="43" customFormat="1">
      <c r="A211" s="437">
        <v>46013</v>
      </c>
      <c r="B211" s="684" t="s">
        <v>257</v>
      </c>
      <c r="C211" s="680"/>
      <c r="D211" s="680">
        <v>15248.65</v>
      </c>
      <c r="E211" s="422"/>
      <c r="F211" s="31"/>
      <c r="G211" s="534"/>
      <c r="H211" s="534"/>
      <c r="I211" s="534"/>
      <c r="J211" s="534"/>
      <c r="K211" s="534"/>
      <c r="L211" s="534"/>
      <c r="M211" s="534"/>
      <c r="N211" s="534"/>
      <c r="O211" s="534"/>
      <c r="P211" s="534"/>
      <c r="Q211" s="534"/>
      <c r="R211" s="534"/>
      <c r="S211" s="534"/>
      <c r="T211" s="534"/>
      <c r="U211" s="534"/>
      <c r="V211" s="534"/>
      <c r="W211" s="534"/>
      <c r="X211" s="534"/>
      <c r="Y211" s="534"/>
      <c r="Z211" s="534"/>
      <c r="AA211" s="534"/>
      <c r="AB211" s="534"/>
      <c r="AC211" s="534"/>
      <c r="AD211" s="534"/>
      <c r="AE211" s="534"/>
      <c r="AF211" s="534"/>
      <c r="AG211" s="534"/>
      <c r="AH211" s="534"/>
      <c r="AI211" s="534"/>
      <c r="AJ211" s="534"/>
      <c r="AK211" s="534"/>
    </row>
    <row r="212" spans="1:37" s="43" customFormat="1">
      <c r="A212" s="437">
        <v>46014</v>
      </c>
      <c r="B212" s="626" t="s">
        <v>251</v>
      </c>
      <c r="C212" s="680">
        <v>-29.95</v>
      </c>
      <c r="D212" s="681"/>
      <c r="E212" s="422"/>
      <c r="F212" s="31"/>
      <c r="G212" s="534"/>
      <c r="H212" s="534"/>
      <c r="I212" s="534"/>
      <c r="J212" s="534"/>
      <c r="K212" s="534"/>
      <c r="L212" s="534"/>
      <c r="M212" s="534"/>
      <c r="N212" s="534"/>
      <c r="O212" s="534"/>
      <c r="P212" s="534"/>
      <c r="Q212" s="534"/>
      <c r="R212" s="534"/>
      <c r="S212" s="534"/>
      <c r="T212" s="534"/>
      <c r="U212" s="534"/>
      <c r="V212" s="534"/>
      <c r="W212" s="534"/>
      <c r="X212" s="534"/>
      <c r="Y212" s="534"/>
      <c r="Z212" s="534"/>
      <c r="AA212" s="534"/>
      <c r="AB212" s="534"/>
      <c r="AC212" s="534"/>
      <c r="AD212" s="534"/>
      <c r="AE212" s="534"/>
      <c r="AF212" s="534"/>
      <c r="AG212" s="534"/>
      <c r="AH212" s="534"/>
      <c r="AI212" s="534"/>
      <c r="AJ212" s="534"/>
      <c r="AK212" s="534"/>
    </row>
    <row r="213" spans="1:37" s="43" customFormat="1">
      <c r="A213" s="437">
        <v>46015</v>
      </c>
      <c r="B213" s="426" t="s">
        <v>258</v>
      </c>
      <c r="C213" s="680">
        <v>-19.989999999999998</v>
      </c>
      <c r="D213" s="425"/>
      <c r="E213" s="422"/>
      <c r="F213" s="31"/>
      <c r="G213" s="534"/>
      <c r="H213" s="534"/>
      <c r="I213" s="534"/>
      <c r="J213" s="534"/>
      <c r="K213" s="534"/>
      <c r="L213" s="534"/>
      <c r="M213" s="534"/>
      <c r="N213" s="534"/>
      <c r="O213" s="534"/>
      <c r="P213" s="534"/>
      <c r="Q213" s="534"/>
      <c r="R213" s="534"/>
      <c r="S213" s="534"/>
      <c r="T213" s="534"/>
      <c r="U213" s="534"/>
      <c r="V213" s="534"/>
      <c r="W213" s="534"/>
      <c r="X213" s="534"/>
      <c r="Y213" s="534"/>
      <c r="Z213" s="534"/>
      <c r="AA213" s="534"/>
      <c r="AB213" s="534"/>
      <c r="AC213" s="534"/>
      <c r="AD213" s="534"/>
      <c r="AE213" s="534"/>
      <c r="AF213" s="534"/>
      <c r="AG213" s="534"/>
      <c r="AH213" s="534"/>
      <c r="AI213" s="534"/>
      <c r="AJ213" s="534"/>
      <c r="AK213" s="534"/>
    </row>
    <row r="214" spans="1:37" s="43" customFormat="1">
      <c r="A214" s="437">
        <v>46017</v>
      </c>
      <c r="B214" s="426" t="s">
        <v>259</v>
      </c>
      <c r="C214" s="680">
        <v>-5.99</v>
      </c>
      <c r="D214" s="425"/>
      <c r="E214" s="422"/>
      <c r="F214" s="31"/>
      <c r="G214" s="534"/>
      <c r="H214" s="534"/>
      <c r="I214" s="534"/>
      <c r="J214" s="534"/>
      <c r="K214" s="534"/>
      <c r="L214" s="534"/>
      <c r="M214" s="534"/>
      <c r="N214" s="534"/>
      <c r="O214" s="534"/>
      <c r="P214" s="534"/>
      <c r="Q214" s="534"/>
      <c r="R214" s="534"/>
      <c r="S214" s="534"/>
      <c r="T214" s="534"/>
      <c r="U214" s="534"/>
      <c r="V214" s="534"/>
      <c r="W214" s="534"/>
      <c r="X214" s="534"/>
      <c r="Y214" s="534"/>
      <c r="Z214" s="534"/>
      <c r="AA214" s="534"/>
      <c r="AB214" s="534"/>
      <c r="AC214" s="534"/>
      <c r="AD214" s="534"/>
      <c r="AE214" s="534"/>
      <c r="AF214" s="534"/>
      <c r="AG214" s="534"/>
      <c r="AH214" s="534"/>
      <c r="AI214" s="534"/>
      <c r="AJ214" s="534"/>
      <c r="AK214" s="534"/>
    </row>
    <row r="215" spans="1:37" s="43" customFormat="1">
      <c r="A215" s="420"/>
      <c r="B215" s="433" t="s">
        <v>260</v>
      </c>
      <c r="C215" s="404">
        <f>-SUM(C171:C214)</f>
        <v>7508.3199999999979</v>
      </c>
      <c r="D215" s="425"/>
      <c r="E215" s="422"/>
      <c r="F215" s="31"/>
      <c r="G215" s="534"/>
      <c r="H215" s="534"/>
      <c r="I215" s="534"/>
      <c r="J215" s="534"/>
      <c r="K215" s="534"/>
      <c r="L215" s="534"/>
      <c r="M215" s="534"/>
      <c r="N215" s="534"/>
      <c r="O215" s="534"/>
      <c r="P215" s="534"/>
      <c r="Q215" s="534"/>
      <c r="R215" s="534"/>
      <c r="S215" s="534"/>
      <c r="T215" s="534"/>
      <c r="U215" s="534"/>
      <c r="V215" s="534"/>
      <c r="W215" s="534"/>
      <c r="X215" s="534"/>
      <c r="Y215" s="534"/>
      <c r="Z215" s="534"/>
      <c r="AA215" s="534"/>
      <c r="AB215" s="534"/>
      <c r="AC215" s="534"/>
      <c r="AD215" s="534"/>
      <c r="AE215" s="534"/>
      <c r="AF215" s="534"/>
      <c r="AG215" s="534"/>
      <c r="AH215" s="534"/>
      <c r="AI215" s="534"/>
      <c r="AJ215" s="534"/>
      <c r="AK215" s="534"/>
    </row>
    <row r="216" spans="1:37" s="43" customFormat="1">
      <c r="A216" s="420"/>
      <c r="B216" s="420"/>
      <c r="C216" s="421"/>
      <c r="D216" s="406"/>
      <c r="E216" s="422"/>
      <c r="F216" s="31"/>
      <c r="G216" s="534"/>
      <c r="H216" s="534"/>
      <c r="I216" s="534"/>
      <c r="J216" s="534"/>
      <c r="K216" s="534"/>
      <c r="L216" s="534"/>
      <c r="M216" s="534"/>
      <c r="N216" s="534"/>
      <c r="O216" s="534"/>
      <c r="P216" s="534"/>
      <c r="Q216" s="534"/>
      <c r="R216" s="534"/>
      <c r="S216" s="534"/>
      <c r="T216" s="534"/>
      <c r="U216" s="534"/>
      <c r="V216" s="534"/>
      <c r="W216" s="534"/>
      <c r="X216" s="534"/>
      <c r="Y216" s="534"/>
      <c r="Z216" s="534"/>
      <c r="AA216" s="534"/>
      <c r="AB216" s="534"/>
      <c r="AC216" s="534"/>
      <c r="AD216" s="534"/>
      <c r="AE216" s="534"/>
      <c r="AF216" s="534"/>
      <c r="AG216" s="534"/>
      <c r="AH216" s="534"/>
      <c r="AI216" s="534"/>
      <c r="AJ216" s="534"/>
      <c r="AK216" s="534"/>
    </row>
    <row r="217" spans="1:37" s="43" customFormat="1">
      <c r="A217" s="420"/>
      <c r="B217" s="420"/>
      <c r="C217" s="421"/>
      <c r="D217" s="421"/>
      <c r="E217" s="422"/>
      <c r="F217" s="31"/>
      <c r="G217" s="534"/>
      <c r="H217" s="534"/>
      <c r="I217" s="534"/>
      <c r="J217" s="534"/>
      <c r="K217" s="534"/>
      <c r="L217" s="534"/>
      <c r="M217" s="534"/>
      <c r="N217" s="534"/>
      <c r="O217" s="534"/>
      <c r="P217" s="534"/>
      <c r="Q217" s="534"/>
      <c r="R217" s="534"/>
      <c r="S217" s="534"/>
      <c r="T217" s="534"/>
      <c r="U217" s="534"/>
      <c r="V217" s="534"/>
      <c r="W217" s="534"/>
      <c r="X217" s="534"/>
      <c r="Y217" s="534"/>
      <c r="Z217" s="534"/>
      <c r="AA217" s="534"/>
      <c r="AB217" s="534"/>
      <c r="AC217" s="534"/>
      <c r="AD217" s="534"/>
      <c r="AE217" s="534"/>
      <c r="AF217" s="534"/>
      <c r="AG217" s="534"/>
      <c r="AH217" s="534"/>
      <c r="AI217" s="534"/>
      <c r="AJ217" s="534"/>
      <c r="AK217" s="534"/>
    </row>
    <row r="218" spans="1:37" s="43" customFormat="1" ht="15.75" thickTop="1">
      <c r="A218" s="427" t="s">
        <v>261</v>
      </c>
      <c r="B218" s="427"/>
      <c r="C218" s="427"/>
      <c r="E218" s="422"/>
      <c r="F218" s="31"/>
      <c r="G218" s="534"/>
      <c r="H218" s="534"/>
      <c r="I218" s="534"/>
      <c r="J218" s="534"/>
      <c r="K218" s="534"/>
      <c r="L218" s="534"/>
      <c r="M218" s="534"/>
      <c r="N218" s="534"/>
      <c r="O218" s="534"/>
      <c r="P218" s="534"/>
      <c r="Q218" s="534"/>
      <c r="R218" s="534"/>
      <c r="S218" s="534"/>
      <c r="T218" s="534"/>
      <c r="U218" s="534"/>
      <c r="V218" s="534"/>
      <c r="W218" s="534"/>
      <c r="X218" s="534"/>
      <c r="Y218" s="534"/>
      <c r="Z218" s="534"/>
      <c r="AA218" s="534"/>
      <c r="AB218" s="534"/>
      <c r="AC218" s="534"/>
      <c r="AD218" s="534"/>
      <c r="AE218" s="534"/>
      <c r="AF218" s="534"/>
      <c r="AG218" s="534"/>
      <c r="AH218" s="534"/>
      <c r="AI218" s="534"/>
      <c r="AJ218" s="534"/>
      <c r="AK218" s="534"/>
    </row>
    <row r="219" spans="1:37" s="43" customFormat="1">
      <c r="A219" s="380" t="s">
        <v>108</v>
      </c>
      <c r="B219" s="380" t="s">
        <v>109</v>
      </c>
      <c r="C219" s="381" t="s">
        <v>107</v>
      </c>
      <c r="D219" s="428" t="s">
        <v>111</v>
      </c>
      <c r="E219" s="422"/>
      <c r="F219" s="31"/>
      <c r="G219" s="534"/>
      <c r="H219" s="534"/>
      <c r="I219" s="534"/>
      <c r="J219" s="534"/>
      <c r="K219" s="534"/>
      <c r="L219" s="534"/>
      <c r="M219" s="534"/>
      <c r="N219" s="534"/>
      <c r="O219" s="534"/>
      <c r="P219" s="534"/>
      <c r="Q219" s="534"/>
      <c r="R219" s="534"/>
      <c r="S219" s="534"/>
      <c r="T219" s="534"/>
      <c r="U219" s="534"/>
      <c r="V219" s="534"/>
      <c r="W219" s="534"/>
      <c r="X219" s="534"/>
      <c r="Y219" s="534"/>
      <c r="Z219" s="534"/>
      <c r="AA219" s="534"/>
      <c r="AB219" s="534"/>
      <c r="AC219" s="534"/>
      <c r="AD219" s="534"/>
      <c r="AE219" s="534"/>
      <c r="AF219" s="534"/>
      <c r="AG219" s="534"/>
      <c r="AH219" s="534"/>
      <c r="AI219" s="534"/>
      <c r="AJ219" s="534"/>
      <c r="AK219" s="534"/>
    </row>
    <row r="220" spans="1:37" s="43" customFormat="1">
      <c r="A220" s="676">
        <v>45989</v>
      </c>
      <c r="B220" s="481" t="s">
        <v>262</v>
      </c>
      <c r="C220" s="680">
        <v>-28</v>
      </c>
      <c r="D220" s="406"/>
      <c r="E220" s="422"/>
      <c r="F220" s="31"/>
      <c r="G220" s="534"/>
      <c r="H220" s="534"/>
      <c r="I220" s="534"/>
      <c r="J220" s="534"/>
      <c r="K220" s="534"/>
      <c r="L220" s="534"/>
      <c r="M220" s="534"/>
      <c r="N220" s="534"/>
      <c r="O220" s="534"/>
      <c r="P220" s="534"/>
      <c r="Q220" s="534"/>
      <c r="R220" s="534"/>
      <c r="S220" s="534"/>
      <c r="T220" s="534"/>
      <c r="U220" s="534"/>
      <c r="V220" s="534"/>
      <c r="W220" s="534"/>
      <c r="X220" s="534"/>
      <c r="Y220" s="534"/>
      <c r="Z220" s="534"/>
      <c r="AA220" s="534"/>
      <c r="AB220" s="534"/>
      <c r="AC220" s="534"/>
      <c r="AD220" s="534"/>
      <c r="AE220" s="534"/>
      <c r="AF220" s="534"/>
      <c r="AG220" s="534"/>
      <c r="AH220" s="534"/>
      <c r="AI220" s="534"/>
      <c r="AJ220" s="534"/>
      <c r="AK220" s="534"/>
    </row>
    <row r="221" spans="1:37" s="43" customFormat="1">
      <c r="A221" s="676">
        <v>45989</v>
      </c>
      <c r="B221" s="481" t="s">
        <v>263</v>
      </c>
      <c r="C221" s="680">
        <v>-17.850000000000001</v>
      </c>
      <c r="D221" s="406"/>
      <c r="E221" s="422"/>
      <c r="F221" s="31"/>
      <c r="G221" s="534"/>
      <c r="H221" s="534"/>
      <c r="I221" s="534"/>
      <c r="J221" s="534"/>
      <c r="K221" s="534"/>
      <c r="L221" s="534"/>
      <c r="M221" s="534"/>
      <c r="N221" s="534"/>
      <c r="O221" s="534"/>
      <c r="P221" s="534"/>
      <c r="Q221" s="534"/>
      <c r="R221" s="534"/>
      <c r="S221" s="534"/>
      <c r="T221" s="534"/>
      <c r="U221" s="534"/>
      <c r="V221" s="534"/>
      <c r="W221" s="534"/>
      <c r="X221" s="534"/>
      <c r="Y221" s="534"/>
      <c r="Z221" s="534"/>
      <c r="AA221" s="534"/>
      <c r="AB221" s="534"/>
      <c r="AC221" s="534"/>
      <c r="AD221" s="534"/>
      <c r="AE221" s="534"/>
      <c r="AF221" s="534"/>
      <c r="AG221" s="534"/>
      <c r="AH221" s="534"/>
      <c r="AI221" s="534"/>
      <c r="AJ221" s="534"/>
      <c r="AK221" s="534"/>
    </row>
    <row r="222" spans="1:37" s="43" customFormat="1">
      <c r="A222" s="676">
        <v>45989</v>
      </c>
      <c r="B222" s="481" t="s">
        <v>264</v>
      </c>
      <c r="C222" s="680">
        <v>-14.37</v>
      </c>
      <c r="D222" s="406"/>
      <c r="E222" s="422"/>
      <c r="F222" s="31"/>
      <c r="G222" s="534"/>
      <c r="H222" s="534"/>
      <c r="I222" s="534"/>
      <c r="J222" s="534"/>
      <c r="K222" s="534"/>
      <c r="L222" s="534"/>
      <c r="M222" s="534"/>
      <c r="N222" s="534"/>
      <c r="O222" s="534"/>
      <c r="P222" s="534"/>
      <c r="Q222" s="534"/>
      <c r="R222" s="534"/>
      <c r="S222" s="534"/>
      <c r="T222" s="534"/>
      <c r="U222" s="534"/>
      <c r="V222" s="534"/>
      <c r="W222" s="534"/>
      <c r="X222" s="534"/>
      <c r="Y222" s="534"/>
      <c r="Z222" s="534"/>
      <c r="AA222" s="534"/>
      <c r="AB222" s="534"/>
      <c r="AC222" s="534"/>
      <c r="AD222" s="534"/>
      <c r="AE222" s="534"/>
      <c r="AF222" s="534"/>
      <c r="AG222" s="534"/>
      <c r="AH222" s="534"/>
      <c r="AI222" s="534"/>
      <c r="AJ222" s="534"/>
      <c r="AK222" s="534"/>
    </row>
    <row r="223" spans="1:37" s="43" customFormat="1">
      <c r="A223" s="676">
        <v>45989</v>
      </c>
      <c r="B223" s="481" t="s">
        <v>265</v>
      </c>
      <c r="C223" s="680">
        <v>-12.57</v>
      </c>
      <c r="D223" s="406"/>
      <c r="E223" s="422"/>
      <c r="F223" s="31"/>
      <c r="G223" s="534"/>
      <c r="H223" s="534"/>
      <c r="I223" s="534"/>
      <c r="J223" s="534"/>
      <c r="K223" s="534"/>
      <c r="L223" s="534"/>
      <c r="M223" s="534"/>
      <c r="N223" s="534"/>
      <c r="O223" s="534"/>
      <c r="P223" s="534"/>
      <c r="Q223" s="534"/>
      <c r="R223" s="534"/>
      <c r="S223" s="534"/>
      <c r="T223" s="534"/>
      <c r="U223" s="534"/>
      <c r="V223" s="534"/>
      <c r="W223" s="534"/>
      <c r="X223" s="534"/>
      <c r="Y223" s="534"/>
      <c r="Z223" s="534"/>
      <c r="AA223" s="534"/>
      <c r="AB223" s="534"/>
      <c r="AC223" s="534"/>
      <c r="AD223" s="534"/>
      <c r="AE223" s="534"/>
      <c r="AF223" s="534"/>
      <c r="AG223" s="534"/>
      <c r="AH223" s="534"/>
      <c r="AI223" s="534"/>
      <c r="AJ223" s="534"/>
      <c r="AK223" s="534"/>
    </row>
    <row r="224" spans="1:37" s="43" customFormat="1">
      <c r="A224" s="676">
        <v>45989</v>
      </c>
      <c r="B224" s="481" t="s">
        <v>266</v>
      </c>
      <c r="C224" s="680">
        <v>-310.3</v>
      </c>
      <c r="D224" s="406"/>
      <c r="E224" s="422"/>
      <c r="F224" s="31"/>
      <c r="G224" s="534"/>
      <c r="H224" s="534"/>
      <c r="I224" s="534"/>
      <c r="J224" s="534"/>
      <c r="K224" s="534"/>
      <c r="L224" s="534"/>
      <c r="M224" s="534"/>
      <c r="N224" s="534"/>
      <c r="O224" s="534"/>
      <c r="P224" s="534"/>
      <c r="Q224" s="534"/>
      <c r="R224" s="534"/>
      <c r="S224" s="534"/>
      <c r="T224" s="534"/>
      <c r="U224" s="534"/>
      <c r="V224" s="534"/>
      <c r="W224" s="534"/>
      <c r="X224" s="534"/>
      <c r="Y224" s="534"/>
      <c r="Z224" s="534"/>
      <c r="AA224" s="534"/>
      <c r="AB224" s="534"/>
      <c r="AC224" s="534"/>
      <c r="AD224" s="534"/>
      <c r="AE224" s="534"/>
      <c r="AF224" s="534"/>
      <c r="AG224" s="534"/>
      <c r="AH224" s="534"/>
      <c r="AI224" s="534"/>
      <c r="AJ224" s="534"/>
      <c r="AK224" s="534"/>
    </row>
    <row r="225" spans="1:37" s="43" customFormat="1">
      <c r="A225" s="676">
        <v>45990</v>
      </c>
      <c r="B225" s="481" t="s">
        <v>267</v>
      </c>
      <c r="C225" s="680">
        <v>-90</v>
      </c>
      <c r="D225" s="406"/>
      <c r="E225" s="422"/>
      <c r="F225" s="31"/>
      <c r="G225" s="534"/>
      <c r="H225" s="534"/>
      <c r="I225" s="534"/>
      <c r="J225" s="534"/>
      <c r="K225" s="534"/>
      <c r="L225" s="534"/>
      <c r="M225" s="534"/>
      <c r="N225" s="534"/>
      <c r="O225" s="534"/>
      <c r="P225" s="534"/>
      <c r="Q225" s="534"/>
      <c r="R225" s="534"/>
      <c r="S225" s="534"/>
      <c r="T225" s="534"/>
      <c r="U225" s="534"/>
      <c r="V225" s="534"/>
      <c r="W225" s="534"/>
      <c r="X225" s="534"/>
      <c r="Y225" s="534"/>
      <c r="Z225" s="534"/>
      <c r="AA225" s="534"/>
      <c r="AB225" s="534"/>
      <c r="AC225" s="534"/>
      <c r="AD225" s="534"/>
      <c r="AE225" s="534"/>
      <c r="AF225" s="534"/>
      <c r="AG225" s="534"/>
      <c r="AH225" s="534"/>
      <c r="AI225" s="534"/>
      <c r="AJ225" s="534"/>
      <c r="AK225" s="534"/>
    </row>
    <row r="226" spans="1:37" s="43" customFormat="1">
      <c r="A226" s="676">
        <v>45990</v>
      </c>
      <c r="B226" s="481" t="s">
        <v>268</v>
      </c>
      <c r="C226" s="680">
        <v>-16.13</v>
      </c>
      <c r="D226" s="406"/>
      <c r="E226" s="422"/>
      <c r="F226" s="31"/>
      <c r="G226" s="534"/>
      <c r="H226" s="534"/>
      <c r="I226" s="534"/>
      <c r="J226" s="534"/>
      <c r="K226" s="534"/>
      <c r="L226" s="534"/>
      <c r="M226" s="534"/>
      <c r="N226" s="534"/>
      <c r="O226" s="534"/>
      <c r="P226" s="534"/>
      <c r="Q226" s="534"/>
      <c r="R226" s="534"/>
      <c r="S226" s="534"/>
      <c r="T226" s="534"/>
      <c r="U226" s="534"/>
      <c r="V226" s="534"/>
      <c r="W226" s="534"/>
      <c r="X226" s="534"/>
      <c r="Y226" s="534"/>
      <c r="Z226" s="534"/>
      <c r="AA226" s="534"/>
      <c r="AB226" s="534"/>
      <c r="AC226" s="534"/>
      <c r="AD226" s="534"/>
      <c r="AE226" s="534"/>
      <c r="AF226" s="534"/>
      <c r="AG226" s="534"/>
      <c r="AH226" s="534"/>
      <c r="AI226" s="534"/>
      <c r="AJ226" s="534"/>
      <c r="AK226" s="534"/>
    </row>
    <row r="227" spans="1:37" s="43" customFormat="1">
      <c r="A227" s="676">
        <v>45992</v>
      </c>
      <c r="B227" s="481" t="s">
        <v>269</v>
      </c>
      <c r="C227" s="680">
        <v>-7.99</v>
      </c>
      <c r="D227" s="406"/>
      <c r="E227" s="422"/>
      <c r="F227" s="31"/>
      <c r="G227" s="534"/>
      <c r="H227" s="534"/>
      <c r="I227" s="534"/>
      <c r="J227" s="534"/>
      <c r="K227" s="534"/>
      <c r="L227" s="534"/>
      <c r="M227" s="534"/>
      <c r="N227" s="534"/>
      <c r="O227" s="534"/>
      <c r="P227" s="534"/>
      <c r="Q227" s="534"/>
      <c r="R227" s="534"/>
      <c r="S227" s="534"/>
      <c r="T227" s="534"/>
      <c r="U227" s="534"/>
      <c r="V227" s="534"/>
      <c r="W227" s="534"/>
      <c r="X227" s="534"/>
      <c r="Y227" s="534"/>
      <c r="Z227" s="534"/>
      <c r="AA227" s="534"/>
      <c r="AB227" s="534"/>
      <c r="AC227" s="534"/>
      <c r="AD227" s="534"/>
      <c r="AE227" s="534"/>
      <c r="AF227" s="534"/>
      <c r="AG227" s="534"/>
      <c r="AH227" s="534"/>
      <c r="AI227" s="534"/>
      <c r="AJ227" s="534"/>
      <c r="AK227" s="534"/>
    </row>
    <row r="228" spans="1:37" s="43" customFormat="1">
      <c r="A228" s="676">
        <v>45992</v>
      </c>
      <c r="B228" s="481" t="s">
        <v>268</v>
      </c>
      <c r="C228" s="680">
        <v>-82</v>
      </c>
      <c r="D228" s="406"/>
      <c r="E228" s="422"/>
      <c r="F228" s="31"/>
      <c r="G228" s="534"/>
      <c r="H228" s="534"/>
      <c r="I228" s="534"/>
      <c r="J228" s="534"/>
      <c r="K228" s="534"/>
      <c r="L228" s="534"/>
      <c r="M228" s="534"/>
      <c r="N228" s="534"/>
      <c r="O228" s="534"/>
      <c r="P228" s="534"/>
      <c r="Q228" s="534"/>
      <c r="R228" s="534"/>
      <c r="S228" s="534"/>
      <c r="T228" s="534"/>
      <c r="U228" s="534"/>
      <c r="V228" s="534"/>
      <c r="W228" s="534"/>
      <c r="X228" s="534"/>
      <c r="Y228" s="534"/>
      <c r="Z228" s="534"/>
      <c r="AA228" s="534"/>
      <c r="AB228" s="534"/>
      <c r="AC228" s="534"/>
      <c r="AD228" s="534"/>
      <c r="AE228" s="534"/>
      <c r="AF228" s="534"/>
      <c r="AG228" s="534"/>
      <c r="AH228" s="534"/>
      <c r="AI228" s="534"/>
      <c r="AJ228" s="534"/>
      <c r="AK228" s="534"/>
    </row>
    <row r="229" spans="1:37" s="43" customFormat="1">
      <c r="A229" s="676">
        <v>45993</v>
      </c>
      <c r="B229" s="481" t="s">
        <v>270</v>
      </c>
      <c r="C229" s="680">
        <v>-1111.4100000000001</v>
      </c>
      <c r="D229" s="406"/>
      <c r="E229" s="422"/>
      <c r="F229" s="31"/>
      <c r="G229" s="534"/>
      <c r="H229" s="534"/>
      <c r="I229" s="534"/>
      <c r="J229" s="534"/>
      <c r="K229" s="534"/>
      <c r="L229" s="534"/>
      <c r="M229" s="534"/>
      <c r="N229" s="534"/>
      <c r="O229" s="534"/>
      <c r="P229" s="534"/>
      <c r="Q229" s="534"/>
      <c r="R229" s="534"/>
      <c r="S229" s="534"/>
      <c r="T229" s="534"/>
      <c r="U229" s="534"/>
      <c r="V229" s="534"/>
      <c r="W229" s="534"/>
      <c r="X229" s="534"/>
      <c r="Y229" s="534"/>
      <c r="Z229" s="534"/>
      <c r="AA229" s="534"/>
      <c r="AB229" s="534"/>
      <c r="AC229" s="534"/>
      <c r="AD229" s="534"/>
      <c r="AE229" s="534"/>
      <c r="AF229" s="534"/>
      <c r="AG229" s="534"/>
      <c r="AH229" s="534"/>
      <c r="AI229" s="534"/>
      <c r="AJ229" s="534"/>
      <c r="AK229" s="534"/>
    </row>
    <row r="230" spans="1:37" s="43" customFormat="1">
      <c r="A230" s="676">
        <v>45993</v>
      </c>
      <c r="B230" s="481" t="s">
        <v>271</v>
      </c>
      <c r="C230" s="680">
        <v>-19.64</v>
      </c>
      <c r="D230" s="406"/>
      <c r="E230" s="422"/>
      <c r="F230" s="31"/>
      <c r="G230" s="534"/>
      <c r="H230" s="534"/>
      <c r="I230" s="534"/>
      <c r="J230" s="534"/>
      <c r="K230" s="534"/>
      <c r="L230" s="534"/>
      <c r="M230" s="534"/>
      <c r="N230" s="534"/>
      <c r="O230" s="534"/>
      <c r="P230" s="534"/>
      <c r="Q230" s="534"/>
      <c r="R230" s="534"/>
      <c r="S230" s="534"/>
      <c r="T230" s="534"/>
      <c r="U230" s="534"/>
      <c r="V230" s="534"/>
      <c r="W230" s="534"/>
      <c r="X230" s="534"/>
      <c r="Y230" s="534"/>
      <c r="Z230" s="534"/>
      <c r="AA230" s="534"/>
      <c r="AB230" s="534"/>
      <c r="AC230" s="534"/>
      <c r="AD230" s="534"/>
      <c r="AE230" s="534"/>
      <c r="AF230" s="534"/>
      <c r="AG230" s="534"/>
      <c r="AH230" s="534"/>
      <c r="AI230" s="534"/>
      <c r="AJ230" s="534"/>
      <c r="AK230" s="534"/>
    </row>
    <row r="231" spans="1:37" s="43" customFormat="1">
      <c r="A231" s="676">
        <v>45993</v>
      </c>
      <c r="B231" s="481" t="s">
        <v>265</v>
      </c>
      <c r="C231" s="680">
        <v>-40.090000000000003</v>
      </c>
      <c r="D231" s="406"/>
      <c r="E231" s="422"/>
      <c r="F231" s="31"/>
      <c r="G231" s="534"/>
      <c r="H231" s="534"/>
      <c r="I231" s="534"/>
      <c r="J231" s="534"/>
      <c r="K231" s="534"/>
      <c r="L231" s="534"/>
      <c r="M231" s="534"/>
      <c r="N231" s="534"/>
      <c r="O231" s="534"/>
      <c r="P231" s="534"/>
      <c r="Q231" s="534"/>
      <c r="R231" s="534"/>
      <c r="S231" s="534"/>
      <c r="T231" s="534"/>
      <c r="U231" s="534"/>
      <c r="V231" s="534"/>
      <c r="W231" s="534"/>
      <c r="X231" s="534"/>
      <c r="Y231" s="534"/>
      <c r="Z231" s="534"/>
      <c r="AA231" s="534"/>
      <c r="AB231" s="534"/>
      <c r="AC231" s="534"/>
      <c r="AD231" s="534"/>
      <c r="AE231" s="534"/>
      <c r="AF231" s="534"/>
      <c r="AG231" s="534"/>
      <c r="AH231" s="534"/>
      <c r="AI231" s="534"/>
      <c r="AJ231" s="534"/>
      <c r="AK231" s="534"/>
    </row>
    <row r="232" spans="1:37" s="43" customFormat="1">
      <c r="A232" s="676">
        <v>45993</v>
      </c>
      <c r="B232" s="481" t="s">
        <v>272</v>
      </c>
      <c r="C232" s="680">
        <v>-21.34</v>
      </c>
      <c r="D232" s="406"/>
      <c r="E232" s="422"/>
      <c r="F232" s="31"/>
      <c r="G232" s="534"/>
      <c r="H232" s="534"/>
      <c r="I232" s="534"/>
      <c r="J232" s="534"/>
      <c r="K232" s="534"/>
      <c r="L232" s="534"/>
      <c r="M232" s="534"/>
      <c r="N232" s="534"/>
      <c r="O232" s="534"/>
      <c r="P232" s="534"/>
      <c r="Q232" s="534"/>
      <c r="R232" s="534"/>
      <c r="S232" s="534"/>
      <c r="T232" s="534"/>
      <c r="U232" s="534"/>
      <c r="V232" s="534"/>
      <c r="W232" s="534"/>
      <c r="X232" s="534"/>
      <c r="Y232" s="534"/>
      <c r="Z232" s="534"/>
      <c r="AA232" s="534"/>
      <c r="AB232" s="534"/>
      <c r="AC232" s="534"/>
      <c r="AD232" s="534"/>
      <c r="AE232" s="534"/>
      <c r="AF232" s="534"/>
      <c r="AG232" s="534"/>
      <c r="AH232" s="534"/>
      <c r="AI232" s="534"/>
      <c r="AJ232" s="534"/>
      <c r="AK232" s="534"/>
    </row>
    <row r="233" spans="1:37" s="43" customFormat="1">
      <c r="A233" s="676">
        <v>45993</v>
      </c>
      <c r="B233" s="481" t="s">
        <v>273</v>
      </c>
      <c r="C233" s="680">
        <v>-6.35</v>
      </c>
      <c r="D233" s="406"/>
      <c r="E233" s="422"/>
      <c r="F233" s="31"/>
      <c r="G233" s="534"/>
      <c r="H233" s="534"/>
      <c r="I233" s="534"/>
      <c r="J233" s="534"/>
      <c r="K233" s="534"/>
      <c r="L233" s="534"/>
      <c r="M233" s="534"/>
      <c r="N233" s="534"/>
      <c r="O233" s="534"/>
      <c r="P233" s="534"/>
      <c r="Q233" s="534"/>
      <c r="R233" s="534"/>
      <c r="S233" s="534"/>
      <c r="T233" s="534"/>
      <c r="U233" s="534"/>
      <c r="V233" s="534"/>
      <c r="W233" s="534"/>
      <c r="X233" s="534"/>
      <c r="Y233" s="534"/>
      <c r="Z233" s="534"/>
      <c r="AA233" s="534"/>
      <c r="AB233" s="534"/>
      <c r="AC233" s="534"/>
      <c r="AD233" s="534"/>
      <c r="AE233" s="534"/>
      <c r="AF233" s="534"/>
      <c r="AG233" s="534"/>
      <c r="AH233" s="534"/>
      <c r="AI233" s="534"/>
      <c r="AJ233" s="534"/>
      <c r="AK233" s="534"/>
    </row>
    <row r="234" spans="1:37" s="43" customFormat="1">
      <c r="A234" s="676">
        <v>45993</v>
      </c>
      <c r="B234" s="481" t="s">
        <v>274</v>
      </c>
      <c r="C234" s="680">
        <v>-76.709999999999994</v>
      </c>
      <c r="D234" s="406"/>
      <c r="E234" s="422"/>
      <c r="F234" s="31"/>
      <c r="G234" s="534"/>
      <c r="H234" s="534"/>
      <c r="I234" s="534"/>
      <c r="J234" s="534"/>
      <c r="K234" s="534"/>
      <c r="L234" s="534"/>
      <c r="M234" s="534"/>
      <c r="N234" s="534"/>
      <c r="O234" s="534"/>
      <c r="P234" s="534"/>
      <c r="Q234" s="534"/>
      <c r="R234" s="534"/>
      <c r="S234" s="534"/>
      <c r="T234" s="534"/>
      <c r="U234" s="534"/>
      <c r="V234" s="534"/>
      <c r="W234" s="534"/>
      <c r="X234" s="534"/>
      <c r="Y234" s="534"/>
      <c r="Z234" s="534"/>
      <c r="AA234" s="534"/>
      <c r="AB234" s="534"/>
      <c r="AC234" s="534"/>
      <c r="AD234" s="534"/>
      <c r="AE234" s="534"/>
      <c r="AF234" s="534"/>
      <c r="AG234" s="534"/>
      <c r="AH234" s="534"/>
      <c r="AI234" s="534"/>
      <c r="AJ234" s="534"/>
      <c r="AK234" s="534"/>
    </row>
    <row r="235" spans="1:37" s="43" customFormat="1">
      <c r="A235" s="676">
        <v>45993</v>
      </c>
      <c r="B235" s="481" t="s">
        <v>275</v>
      </c>
      <c r="C235" s="680">
        <v>-7.97</v>
      </c>
      <c r="D235" s="406"/>
      <c r="E235" s="422"/>
      <c r="F235" s="31"/>
      <c r="G235" s="534"/>
      <c r="H235" s="534"/>
      <c r="I235" s="534"/>
      <c r="J235" s="534"/>
      <c r="K235" s="534"/>
      <c r="L235" s="534"/>
      <c r="M235" s="534"/>
      <c r="N235" s="534"/>
      <c r="O235" s="534"/>
      <c r="P235" s="534"/>
      <c r="Q235" s="534"/>
      <c r="R235" s="534"/>
      <c r="S235" s="534"/>
      <c r="T235" s="534"/>
      <c r="U235" s="534"/>
      <c r="V235" s="534"/>
      <c r="W235" s="534"/>
      <c r="X235" s="534"/>
      <c r="Y235" s="534"/>
      <c r="Z235" s="534"/>
      <c r="AA235" s="534"/>
      <c r="AB235" s="534"/>
      <c r="AC235" s="534"/>
      <c r="AD235" s="534"/>
      <c r="AE235" s="534"/>
      <c r="AF235" s="534"/>
      <c r="AG235" s="534"/>
      <c r="AH235" s="534"/>
      <c r="AI235" s="534"/>
      <c r="AJ235" s="534"/>
      <c r="AK235" s="534"/>
    </row>
    <row r="236" spans="1:37" s="43" customFormat="1">
      <c r="A236" s="676">
        <v>45994</v>
      </c>
      <c r="B236" s="481" t="s">
        <v>276</v>
      </c>
      <c r="C236" s="680">
        <v>-14.99</v>
      </c>
      <c r="D236" s="406"/>
      <c r="E236" s="422"/>
      <c r="F236" s="31"/>
      <c r="G236" s="534"/>
      <c r="H236" s="534"/>
      <c r="I236" s="534"/>
      <c r="J236" s="534"/>
      <c r="K236" s="534"/>
      <c r="L236" s="534"/>
      <c r="M236" s="534"/>
      <c r="N236" s="534"/>
      <c r="O236" s="534"/>
      <c r="P236" s="534"/>
      <c r="Q236" s="534"/>
      <c r="R236" s="534"/>
      <c r="S236" s="534"/>
      <c r="T236" s="534"/>
      <c r="U236" s="534"/>
      <c r="V236" s="534"/>
      <c r="W236" s="534"/>
      <c r="X236" s="534"/>
      <c r="Y236" s="534"/>
      <c r="Z236" s="534"/>
      <c r="AA236" s="534"/>
      <c r="AB236" s="534"/>
      <c r="AC236" s="534"/>
      <c r="AD236" s="534"/>
      <c r="AE236" s="534"/>
      <c r="AF236" s="534"/>
      <c r="AG236" s="534"/>
      <c r="AH236" s="534"/>
      <c r="AI236" s="534"/>
      <c r="AJ236" s="534"/>
      <c r="AK236" s="534"/>
    </row>
    <row r="237" spans="1:37" s="43" customFormat="1">
      <c r="A237" s="676">
        <v>45994</v>
      </c>
      <c r="B237" s="481" t="s">
        <v>277</v>
      </c>
      <c r="C237" s="680">
        <v>-26.83</v>
      </c>
      <c r="D237" s="406"/>
      <c r="E237" s="422"/>
      <c r="F237" s="31"/>
      <c r="G237" s="534"/>
      <c r="H237" s="534"/>
      <c r="I237" s="534"/>
      <c r="J237" s="534"/>
      <c r="K237" s="534"/>
      <c r="L237" s="534"/>
      <c r="M237" s="534"/>
      <c r="N237" s="534"/>
      <c r="O237" s="534"/>
      <c r="P237" s="534"/>
      <c r="Q237" s="534"/>
      <c r="R237" s="534"/>
      <c r="S237" s="534"/>
      <c r="T237" s="534"/>
      <c r="U237" s="534"/>
      <c r="V237" s="534"/>
      <c r="W237" s="534"/>
      <c r="X237" s="534"/>
      <c r="Y237" s="534"/>
      <c r="Z237" s="534"/>
      <c r="AA237" s="534"/>
      <c r="AB237" s="534"/>
      <c r="AC237" s="534"/>
      <c r="AD237" s="534"/>
      <c r="AE237" s="534"/>
      <c r="AF237" s="534"/>
      <c r="AG237" s="534"/>
      <c r="AH237" s="534"/>
      <c r="AI237" s="534"/>
      <c r="AJ237" s="534"/>
      <c r="AK237" s="534"/>
    </row>
    <row r="238" spans="1:37" s="43" customFormat="1">
      <c r="A238" s="676">
        <v>45994</v>
      </c>
      <c r="B238" s="481" t="s">
        <v>278</v>
      </c>
      <c r="C238" s="680">
        <v>-15.99</v>
      </c>
      <c r="D238" s="406"/>
      <c r="E238" s="422"/>
      <c r="F238" s="31"/>
      <c r="G238" s="534"/>
      <c r="H238" s="534"/>
      <c r="I238" s="534"/>
      <c r="J238" s="534"/>
      <c r="K238" s="534"/>
      <c r="L238" s="534"/>
      <c r="M238" s="534"/>
      <c r="N238" s="534"/>
      <c r="O238" s="534"/>
      <c r="P238" s="534"/>
      <c r="Q238" s="534"/>
      <c r="R238" s="534"/>
      <c r="S238" s="534"/>
      <c r="T238" s="534"/>
      <c r="U238" s="534"/>
      <c r="V238" s="534"/>
      <c r="W238" s="534"/>
      <c r="X238" s="534"/>
      <c r="Y238" s="534"/>
      <c r="Z238" s="534"/>
      <c r="AA238" s="534"/>
      <c r="AB238" s="534"/>
      <c r="AC238" s="534"/>
      <c r="AD238" s="534"/>
      <c r="AE238" s="534"/>
      <c r="AF238" s="534"/>
      <c r="AG238" s="534"/>
      <c r="AH238" s="534"/>
      <c r="AI238" s="534"/>
      <c r="AJ238" s="534"/>
      <c r="AK238" s="534"/>
    </row>
    <row r="239" spans="1:37" s="43" customFormat="1">
      <c r="A239" s="676">
        <v>45994</v>
      </c>
      <c r="B239" s="481" t="s">
        <v>279</v>
      </c>
      <c r="C239" s="680">
        <v>-52.28</v>
      </c>
      <c r="D239" s="406"/>
      <c r="E239" s="422"/>
      <c r="F239" s="31"/>
      <c r="G239" s="534"/>
      <c r="H239" s="534"/>
      <c r="I239" s="534"/>
      <c r="J239" s="534"/>
      <c r="K239" s="534"/>
      <c r="L239" s="534"/>
      <c r="M239" s="534"/>
      <c r="N239" s="534"/>
      <c r="O239" s="534"/>
      <c r="P239" s="534"/>
      <c r="Q239" s="534"/>
      <c r="R239" s="534"/>
      <c r="S239" s="534"/>
      <c r="T239" s="534"/>
      <c r="U239" s="534"/>
      <c r="V239" s="534"/>
      <c r="W239" s="534"/>
      <c r="X239" s="534"/>
      <c r="Y239" s="534"/>
      <c r="Z239" s="534"/>
      <c r="AA239" s="534"/>
      <c r="AB239" s="534"/>
      <c r="AC239" s="534"/>
      <c r="AD239" s="534"/>
      <c r="AE239" s="534"/>
      <c r="AF239" s="534"/>
      <c r="AG239" s="534"/>
      <c r="AH239" s="534"/>
      <c r="AI239" s="534"/>
      <c r="AJ239" s="534"/>
      <c r="AK239" s="534"/>
    </row>
    <row r="240" spans="1:37" s="43" customFormat="1">
      <c r="A240" s="676">
        <v>45995</v>
      </c>
      <c r="B240" s="481" t="s">
        <v>280</v>
      </c>
      <c r="C240" s="680">
        <v>-15.13</v>
      </c>
      <c r="D240" s="406"/>
      <c r="E240" s="422"/>
      <c r="F240" s="31"/>
      <c r="G240" s="534"/>
      <c r="H240" s="534"/>
      <c r="I240" s="534"/>
      <c r="J240" s="534"/>
      <c r="K240" s="534"/>
      <c r="L240" s="534"/>
      <c r="M240" s="534"/>
      <c r="N240" s="534"/>
      <c r="O240" s="534"/>
      <c r="P240" s="534"/>
      <c r="Q240" s="534"/>
      <c r="R240" s="534"/>
      <c r="S240" s="534"/>
      <c r="T240" s="534"/>
      <c r="U240" s="534"/>
      <c r="V240" s="534"/>
      <c r="W240" s="534"/>
      <c r="X240" s="534"/>
      <c r="Y240" s="534"/>
      <c r="Z240" s="534"/>
      <c r="AA240" s="534"/>
      <c r="AB240" s="534"/>
      <c r="AC240" s="534"/>
      <c r="AD240" s="534"/>
      <c r="AE240" s="534"/>
      <c r="AF240" s="534"/>
      <c r="AG240" s="534"/>
      <c r="AH240" s="534"/>
      <c r="AI240" s="534"/>
      <c r="AJ240" s="534"/>
      <c r="AK240" s="534"/>
    </row>
    <row r="241" spans="1:37" s="43" customFormat="1">
      <c r="A241" s="676">
        <v>45995</v>
      </c>
      <c r="B241" s="481" t="s">
        <v>281</v>
      </c>
      <c r="C241" s="680">
        <v>-17.989999999999998</v>
      </c>
      <c r="D241" s="406"/>
      <c r="E241" s="422"/>
      <c r="F241" s="31"/>
      <c r="G241" s="534"/>
      <c r="H241" s="534"/>
      <c r="I241" s="534"/>
      <c r="J241" s="534"/>
      <c r="K241" s="534"/>
      <c r="L241" s="534"/>
      <c r="M241" s="534"/>
      <c r="N241" s="534"/>
      <c r="O241" s="534"/>
      <c r="P241" s="534"/>
      <c r="Q241" s="534"/>
      <c r="R241" s="534"/>
      <c r="S241" s="534"/>
      <c r="T241" s="534"/>
      <c r="U241" s="534"/>
      <c r="V241" s="534"/>
      <c r="W241" s="534"/>
      <c r="X241" s="534"/>
      <c r="Y241" s="534"/>
      <c r="Z241" s="534"/>
      <c r="AA241" s="534"/>
      <c r="AB241" s="534"/>
      <c r="AC241" s="534"/>
      <c r="AD241" s="534"/>
      <c r="AE241" s="534"/>
      <c r="AF241" s="534"/>
      <c r="AG241" s="534"/>
      <c r="AH241" s="534"/>
      <c r="AI241" s="534"/>
      <c r="AJ241" s="534"/>
      <c r="AK241" s="534"/>
    </row>
    <row r="242" spans="1:37" s="43" customFormat="1">
      <c r="A242" s="676">
        <v>45995</v>
      </c>
      <c r="B242" s="481" t="s">
        <v>282</v>
      </c>
      <c r="C242" s="680">
        <v>-6.78</v>
      </c>
      <c r="D242" s="406"/>
      <c r="E242" s="422"/>
      <c r="F242" s="31"/>
      <c r="G242" s="534"/>
      <c r="H242" s="534"/>
      <c r="I242" s="534"/>
      <c r="J242" s="534"/>
      <c r="K242" s="534"/>
      <c r="L242" s="534"/>
      <c r="M242" s="534"/>
      <c r="N242" s="534"/>
      <c r="O242" s="534"/>
      <c r="P242" s="534"/>
      <c r="Q242" s="534"/>
      <c r="R242" s="534"/>
      <c r="S242" s="534"/>
      <c r="T242" s="534"/>
      <c r="U242" s="534"/>
      <c r="V242" s="534"/>
      <c r="W242" s="534"/>
      <c r="X242" s="534"/>
      <c r="Y242" s="534"/>
      <c r="Z242" s="534"/>
      <c r="AA242" s="534"/>
      <c r="AB242" s="534"/>
      <c r="AC242" s="534"/>
      <c r="AD242" s="534"/>
      <c r="AE242" s="534"/>
      <c r="AF242" s="534"/>
      <c r="AG242" s="534"/>
      <c r="AH242" s="534"/>
      <c r="AI242" s="534"/>
      <c r="AJ242" s="534"/>
      <c r="AK242" s="534"/>
    </row>
    <row r="243" spans="1:37" s="43" customFormat="1">
      <c r="A243" s="676">
        <v>45996</v>
      </c>
      <c r="B243" s="481" t="s">
        <v>283</v>
      </c>
      <c r="C243" s="680">
        <v>-17.989999999999998</v>
      </c>
      <c r="D243" s="406"/>
      <c r="E243" s="422"/>
      <c r="F243" s="31"/>
      <c r="G243" s="534"/>
      <c r="H243" s="534"/>
      <c r="I243" s="534"/>
      <c r="J243" s="534"/>
      <c r="K243" s="534"/>
      <c r="L243" s="534"/>
      <c r="M243" s="534"/>
      <c r="N243" s="534"/>
      <c r="O243" s="534"/>
      <c r="P243" s="534"/>
      <c r="Q243" s="534"/>
      <c r="R243" s="534"/>
      <c r="S243" s="534"/>
      <c r="T243" s="534"/>
      <c r="U243" s="534"/>
      <c r="V243" s="534"/>
      <c r="W243" s="534"/>
      <c r="X243" s="534"/>
      <c r="Y243" s="534"/>
      <c r="Z243" s="534"/>
      <c r="AA243" s="534"/>
      <c r="AB243" s="534"/>
      <c r="AC243" s="534"/>
      <c r="AD243" s="534"/>
      <c r="AE243" s="534"/>
      <c r="AF243" s="534"/>
      <c r="AG243" s="534"/>
      <c r="AH243" s="534"/>
      <c r="AI243" s="534"/>
      <c r="AJ243" s="534"/>
      <c r="AK243" s="534"/>
    </row>
    <row r="244" spans="1:37" s="43" customFormat="1">
      <c r="A244" s="676">
        <v>45997</v>
      </c>
      <c r="B244" s="481" t="s">
        <v>284</v>
      </c>
      <c r="C244" s="680">
        <v>-39.67</v>
      </c>
      <c r="D244" s="406"/>
      <c r="E244" s="422"/>
      <c r="F244" s="31"/>
      <c r="G244" s="534"/>
      <c r="H244" s="534"/>
      <c r="I244" s="534"/>
      <c r="J244" s="534"/>
      <c r="K244" s="534"/>
      <c r="L244" s="534"/>
      <c r="M244" s="534"/>
      <c r="N244" s="534"/>
      <c r="O244" s="534"/>
      <c r="P244" s="534"/>
      <c r="Q244" s="534"/>
      <c r="R244" s="534"/>
      <c r="S244" s="534"/>
      <c r="T244" s="534"/>
      <c r="U244" s="534"/>
      <c r="V244" s="534"/>
      <c r="W244" s="534"/>
      <c r="X244" s="534"/>
      <c r="Y244" s="534"/>
      <c r="Z244" s="534"/>
      <c r="AA244" s="534"/>
      <c r="AB244" s="534"/>
      <c r="AC244" s="534"/>
      <c r="AD244" s="534"/>
      <c r="AE244" s="534"/>
      <c r="AF244" s="534"/>
      <c r="AG244" s="534"/>
      <c r="AH244" s="534"/>
      <c r="AI244" s="534"/>
      <c r="AJ244" s="534"/>
      <c r="AK244" s="534"/>
    </row>
    <row r="245" spans="1:37" s="43" customFormat="1">
      <c r="A245" s="676">
        <v>45997</v>
      </c>
      <c r="B245" s="481" t="s">
        <v>285</v>
      </c>
      <c r="C245" s="680">
        <v>-379</v>
      </c>
      <c r="D245" s="406"/>
      <c r="E245" s="422"/>
      <c r="F245" s="31"/>
      <c r="G245" s="534"/>
      <c r="H245" s="534"/>
      <c r="I245" s="534"/>
      <c r="J245" s="534"/>
      <c r="K245" s="534"/>
      <c r="L245" s="534"/>
      <c r="M245" s="534"/>
      <c r="N245" s="534"/>
      <c r="O245" s="534"/>
      <c r="P245" s="534"/>
      <c r="Q245" s="534"/>
      <c r="R245" s="534"/>
      <c r="S245" s="534"/>
      <c r="T245" s="534"/>
      <c r="U245" s="534"/>
      <c r="V245" s="534"/>
      <c r="W245" s="534"/>
      <c r="X245" s="534"/>
      <c r="Y245" s="534"/>
      <c r="Z245" s="534"/>
      <c r="AA245" s="534"/>
      <c r="AB245" s="534"/>
      <c r="AC245" s="534"/>
      <c r="AD245" s="534"/>
      <c r="AE245" s="534"/>
      <c r="AF245" s="534"/>
      <c r="AG245" s="534"/>
      <c r="AH245" s="534"/>
      <c r="AI245" s="534"/>
      <c r="AJ245" s="534"/>
      <c r="AK245" s="534"/>
    </row>
    <row r="246" spans="1:37" s="43" customFormat="1">
      <c r="A246" s="676">
        <v>45997</v>
      </c>
      <c r="B246" s="481" t="s">
        <v>286</v>
      </c>
      <c r="C246" s="680">
        <v>-19.989999999999998</v>
      </c>
      <c r="D246" s="406"/>
      <c r="E246" s="422"/>
      <c r="F246" s="31"/>
      <c r="G246" s="534"/>
      <c r="H246" s="534"/>
      <c r="I246" s="534"/>
      <c r="J246" s="534"/>
      <c r="K246" s="534"/>
      <c r="L246" s="534"/>
      <c r="M246" s="534"/>
      <c r="N246" s="534"/>
      <c r="O246" s="534"/>
      <c r="P246" s="534"/>
      <c r="Q246" s="534"/>
      <c r="R246" s="534"/>
      <c r="S246" s="534"/>
      <c r="T246" s="534"/>
      <c r="U246" s="534"/>
      <c r="V246" s="534"/>
      <c r="W246" s="534"/>
      <c r="X246" s="534"/>
      <c r="Y246" s="534"/>
      <c r="Z246" s="534"/>
      <c r="AA246" s="534"/>
      <c r="AB246" s="534"/>
      <c r="AC246" s="534"/>
      <c r="AD246" s="534"/>
      <c r="AE246" s="534"/>
      <c r="AF246" s="534"/>
      <c r="AG246" s="534"/>
      <c r="AH246" s="534"/>
      <c r="AI246" s="534"/>
      <c r="AJ246" s="534"/>
      <c r="AK246" s="534"/>
    </row>
    <row r="247" spans="1:37" s="43" customFormat="1">
      <c r="A247" s="676">
        <v>45997</v>
      </c>
      <c r="B247" s="481" t="s">
        <v>287</v>
      </c>
      <c r="C247" s="680">
        <v>-11.99</v>
      </c>
      <c r="D247" s="406"/>
      <c r="E247" s="422"/>
      <c r="F247" s="31"/>
      <c r="G247" s="534"/>
      <c r="H247" s="534"/>
      <c r="I247" s="534"/>
      <c r="J247" s="534"/>
      <c r="K247" s="534"/>
      <c r="L247" s="534"/>
      <c r="M247" s="534"/>
      <c r="N247" s="534"/>
      <c r="O247" s="534"/>
      <c r="P247" s="534"/>
      <c r="Q247" s="534"/>
      <c r="R247" s="534"/>
      <c r="S247" s="534"/>
      <c r="T247" s="534"/>
      <c r="U247" s="534"/>
      <c r="V247" s="534"/>
      <c r="W247" s="534"/>
      <c r="X247" s="534"/>
      <c r="Y247" s="534"/>
      <c r="Z247" s="534"/>
      <c r="AA247" s="534"/>
      <c r="AB247" s="534"/>
      <c r="AC247" s="534"/>
      <c r="AD247" s="534"/>
      <c r="AE247" s="534"/>
      <c r="AF247" s="534"/>
      <c r="AG247" s="534"/>
      <c r="AH247" s="534"/>
      <c r="AI247" s="534"/>
      <c r="AJ247" s="534"/>
      <c r="AK247" s="534"/>
    </row>
    <row r="248" spans="1:37" s="43" customFormat="1">
      <c r="A248" s="676">
        <v>45999</v>
      </c>
      <c r="B248" s="481" t="s">
        <v>288</v>
      </c>
      <c r="C248" s="680">
        <v>-12.7</v>
      </c>
      <c r="D248" s="406"/>
      <c r="E248" s="422"/>
      <c r="F248" s="31"/>
      <c r="G248" s="534"/>
      <c r="H248" s="534"/>
      <c r="I248" s="534"/>
      <c r="J248" s="534"/>
      <c r="K248" s="534"/>
      <c r="L248" s="534"/>
      <c r="M248" s="534"/>
      <c r="N248" s="534"/>
      <c r="O248" s="534"/>
      <c r="P248" s="534"/>
      <c r="Q248" s="534"/>
      <c r="R248" s="534"/>
      <c r="S248" s="534"/>
      <c r="T248" s="534"/>
      <c r="U248" s="534"/>
      <c r="V248" s="534"/>
      <c r="W248" s="534"/>
      <c r="X248" s="534"/>
      <c r="Y248" s="534"/>
      <c r="Z248" s="534"/>
      <c r="AA248" s="534"/>
      <c r="AB248" s="534"/>
      <c r="AC248" s="534"/>
      <c r="AD248" s="534"/>
      <c r="AE248" s="534"/>
      <c r="AF248" s="534"/>
      <c r="AG248" s="534"/>
      <c r="AH248" s="534"/>
      <c r="AI248" s="534"/>
      <c r="AJ248" s="534"/>
      <c r="AK248" s="534"/>
    </row>
    <row r="249" spans="1:37" s="43" customFormat="1">
      <c r="A249" s="676">
        <v>45999</v>
      </c>
      <c r="B249" s="481" t="s">
        <v>265</v>
      </c>
      <c r="C249" s="680">
        <v>-12</v>
      </c>
      <c r="D249" s="406"/>
      <c r="E249" s="422"/>
      <c r="F249" s="31"/>
      <c r="G249" s="534"/>
      <c r="H249" s="534"/>
      <c r="I249" s="534"/>
      <c r="J249" s="534"/>
      <c r="K249" s="534"/>
      <c r="L249" s="534"/>
      <c r="M249" s="534"/>
      <c r="N249" s="534"/>
      <c r="O249" s="534"/>
      <c r="P249" s="534"/>
      <c r="Q249" s="534"/>
      <c r="R249" s="534"/>
      <c r="S249" s="534"/>
      <c r="T249" s="534"/>
      <c r="U249" s="534"/>
      <c r="V249" s="534"/>
      <c r="W249" s="534"/>
      <c r="X249" s="534"/>
      <c r="Y249" s="534"/>
      <c r="Z249" s="534"/>
      <c r="AA249" s="534"/>
      <c r="AB249" s="534"/>
      <c r="AC249" s="534"/>
      <c r="AD249" s="534"/>
      <c r="AE249" s="534"/>
      <c r="AF249" s="534"/>
      <c r="AG249" s="534"/>
      <c r="AH249" s="534"/>
      <c r="AI249" s="534"/>
      <c r="AJ249" s="534"/>
      <c r="AK249" s="534"/>
    </row>
    <row r="250" spans="1:37" s="43" customFormat="1">
      <c r="A250" s="676">
        <v>45999</v>
      </c>
      <c r="B250" s="481" t="s">
        <v>289</v>
      </c>
      <c r="C250" s="680">
        <v>-17.989999999999998</v>
      </c>
      <c r="D250" s="406"/>
      <c r="E250" s="422"/>
      <c r="F250" s="31"/>
      <c r="G250" s="534"/>
      <c r="H250" s="534"/>
      <c r="I250" s="534"/>
      <c r="J250" s="534"/>
      <c r="K250" s="534"/>
      <c r="L250" s="534"/>
      <c r="M250" s="534"/>
      <c r="N250" s="534"/>
      <c r="O250" s="534"/>
      <c r="P250" s="534"/>
      <c r="Q250" s="534"/>
      <c r="R250" s="534"/>
      <c r="S250" s="534"/>
      <c r="T250" s="534"/>
      <c r="U250" s="534"/>
      <c r="V250" s="534"/>
      <c r="W250" s="534"/>
      <c r="X250" s="534"/>
      <c r="Y250" s="534"/>
      <c r="Z250" s="534"/>
      <c r="AA250" s="534"/>
      <c r="AB250" s="534"/>
      <c r="AC250" s="534"/>
      <c r="AD250" s="534"/>
      <c r="AE250" s="534"/>
      <c r="AF250" s="534"/>
      <c r="AG250" s="534"/>
      <c r="AH250" s="534"/>
      <c r="AI250" s="534"/>
      <c r="AJ250" s="534"/>
      <c r="AK250" s="534"/>
    </row>
    <row r="251" spans="1:37" s="43" customFormat="1">
      <c r="A251" s="676">
        <v>46000</v>
      </c>
      <c r="B251" s="481" t="s">
        <v>290</v>
      </c>
      <c r="C251" s="680">
        <v>-4.6900000000000004</v>
      </c>
      <c r="D251" s="406"/>
      <c r="E251" s="422"/>
      <c r="F251" s="31"/>
      <c r="G251" s="534"/>
      <c r="H251" s="534"/>
      <c r="I251" s="534"/>
      <c r="J251" s="534"/>
      <c r="K251" s="534"/>
      <c r="L251" s="534"/>
      <c r="M251" s="534"/>
      <c r="N251" s="534"/>
      <c r="O251" s="534"/>
      <c r="P251" s="534"/>
      <c r="Q251" s="534"/>
      <c r="R251" s="534"/>
      <c r="S251" s="534"/>
      <c r="T251" s="534"/>
      <c r="U251" s="534"/>
      <c r="V251" s="534"/>
      <c r="W251" s="534"/>
      <c r="X251" s="534"/>
      <c r="Y251" s="534"/>
      <c r="Z251" s="534"/>
      <c r="AA251" s="534"/>
      <c r="AB251" s="534"/>
      <c r="AC251" s="534"/>
      <c r="AD251" s="534"/>
      <c r="AE251" s="534"/>
      <c r="AF251" s="534"/>
      <c r="AG251" s="534"/>
      <c r="AH251" s="534"/>
      <c r="AI251" s="534"/>
      <c r="AJ251" s="534"/>
      <c r="AK251" s="534"/>
    </row>
    <row r="252" spans="1:37" s="43" customFormat="1">
      <c r="A252" s="676">
        <v>46000</v>
      </c>
      <c r="B252" s="481" t="s">
        <v>291</v>
      </c>
      <c r="C252" s="680">
        <v>-16.989999999999998</v>
      </c>
      <c r="D252" s="406"/>
      <c r="E252" s="422"/>
      <c r="F252" s="31"/>
      <c r="G252" s="534"/>
      <c r="H252" s="534"/>
      <c r="I252" s="534"/>
      <c r="J252" s="534"/>
      <c r="K252" s="534"/>
      <c r="L252" s="534"/>
      <c r="M252" s="534"/>
      <c r="N252" s="534"/>
      <c r="O252" s="534"/>
      <c r="P252" s="534"/>
      <c r="Q252" s="534"/>
      <c r="R252" s="534"/>
      <c r="S252" s="534"/>
      <c r="T252" s="534"/>
      <c r="U252" s="534"/>
      <c r="V252" s="534"/>
      <c r="W252" s="534"/>
      <c r="X252" s="534"/>
      <c r="Y252" s="534"/>
      <c r="Z252" s="534"/>
      <c r="AA252" s="534"/>
      <c r="AB252" s="534"/>
      <c r="AC252" s="534"/>
      <c r="AD252" s="534"/>
      <c r="AE252" s="534"/>
      <c r="AF252" s="534"/>
      <c r="AG252" s="534"/>
      <c r="AH252" s="534"/>
      <c r="AI252" s="534"/>
      <c r="AJ252" s="534"/>
      <c r="AK252" s="534"/>
    </row>
    <row r="253" spans="1:37" s="43" customFormat="1">
      <c r="A253" s="676">
        <v>46001</v>
      </c>
      <c r="B253" s="481" t="s">
        <v>292</v>
      </c>
      <c r="C253" s="680">
        <v>-64.989999999999995</v>
      </c>
      <c r="D253" s="406"/>
      <c r="E253" s="422"/>
      <c r="F253" s="31"/>
      <c r="G253" s="534"/>
      <c r="H253" s="534"/>
      <c r="I253" s="534"/>
      <c r="J253" s="534"/>
      <c r="K253" s="534"/>
      <c r="L253" s="534"/>
      <c r="M253" s="534"/>
      <c r="N253" s="534"/>
      <c r="O253" s="534"/>
      <c r="P253" s="534"/>
      <c r="Q253" s="534"/>
      <c r="R253" s="534"/>
      <c r="S253" s="534"/>
      <c r="T253" s="534"/>
      <c r="U253" s="534"/>
      <c r="V253" s="534"/>
      <c r="W253" s="534"/>
      <c r="X253" s="534"/>
      <c r="Y253" s="534"/>
      <c r="Z253" s="534"/>
      <c r="AA253" s="534"/>
      <c r="AB253" s="534"/>
      <c r="AC253" s="534"/>
      <c r="AD253" s="534"/>
      <c r="AE253" s="534"/>
      <c r="AF253" s="534"/>
      <c r="AG253" s="534"/>
      <c r="AH253" s="534"/>
      <c r="AI253" s="534"/>
      <c r="AJ253" s="534"/>
      <c r="AK253" s="534"/>
    </row>
    <row r="254" spans="1:37" s="43" customFormat="1">
      <c r="A254" s="437">
        <v>46001</v>
      </c>
      <c r="B254" s="684" t="s">
        <v>265</v>
      </c>
      <c r="C254" s="680">
        <v>-4.2699999999999996</v>
      </c>
      <c r="D254" s="406"/>
      <c r="E254" s="422"/>
      <c r="F254" s="31"/>
      <c r="G254" s="534"/>
      <c r="H254" s="534"/>
      <c r="I254" s="534"/>
      <c r="J254" s="534"/>
      <c r="K254" s="534"/>
      <c r="L254" s="534"/>
      <c r="M254" s="534"/>
      <c r="N254" s="534"/>
      <c r="O254" s="534"/>
      <c r="P254" s="534"/>
      <c r="Q254" s="534"/>
      <c r="R254" s="534"/>
      <c r="S254" s="534"/>
      <c r="T254" s="534"/>
      <c r="U254" s="534"/>
      <c r="V254" s="534"/>
      <c r="W254" s="534"/>
      <c r="X254" s="534"/>
      <c r="Y254" s="534"/>
      <c r="Z254" s="534"/>
      <c r="AA254" s="534"/>
      <c r="AB254" s="534"/>
      <c r="AC254" s="534"/>
      <c r="AD254" s="534"/>
      <c r="AE254" s="534"/>
      <c r="AF254" s="534"/>
      <c r="AG254" s="534"/>
      <c r="AH254" s="534"/>
      <c r="AI254" s="534"/>
      <c r="AJ254" s="534"/>
      <c r="AK254" s="534"/>
    </row>
    <row r="255" spans="1:37" s="43" customFormat="1">
      <c r="A255" s="437">
        <v>46001</v>
      </c>
      <c r="B255" s="684" t="s">
        <v>265</v>
      </c>
      <c r="C255" s="680">
        <v>-5.34</v>
      </c>
      <c r="D255" s="406"/>
      <c r="E255" s="422"/>
      <c r="F255" s="31"/>
      <c r="G255" s="534"/>
      <c r="H255" s="534"/>
      <c r="I255" s="534"/>
      <c r="J255" s="534"/>
      <c r="K255" s="534"/>
      <c r="L255" s="534"/>
      <c r="M255" s="534"/>
      <c r="N255" s="534"/>
      <c r="O255" s="534"/>
      <c r="P255" s="534"/>
      <c r="Q255" s="534"/>
      <c r="R255" s="534"/>
      <c r="S255" s="534"/>
      <c r="T255" s="534"/>
      <c r="U255" s="534"/>
      <c r="V255" s="534"/>
      <c r="W255" s="534"/>
      <c r="X255" s="534"/>
      <c r="Y255" s="534"/>
      <c r="Z255" s="534"/>
      <c r="AA255" s="534"/>
      <c r="AB255" s="534"/>
      <c r="AC255" s="534"/>
      <c r="AD255" s="534"/>
      <c r="AE255" s="534"/>
      <c r="AF255" s="534"/>
      <c r="AG255" s="534"/>
      <c r="AH255" s="534"/>
      <c r="AI255" s="534"/>
      <c r="AJ255" s="534"/>
      <c r="AK255" s="534"/>
    </row>
    <row r="256" spans="1:37" s="43" customFormat="1">
      <c r="A256" s="437">
        <v>46001</v>
      </c>
      <c r="B256" s="684" t="s">
        <v>265</v>
      </c>
      <c r="C256" s="680">
        <v>-4.2699999999999996</v>
      </c>
      <c r="D256" s="406"/>
      <c r="E256" s="422"/>
      <c r="F256" s="31"/>
      <c r="G256" s="534"/>
      <c r="H256" s="534"/>
      <c r="I256" s="534"/>
      <c r="J256" s="534"/>
      <c r="K256" s="534"/>
      <c r="L256" s="534"/>
      <c r="M256" s="534"/>
      <c r="N256" s="534"/>
      <c r="O256" s="534"/>
      <c r="P256" s="534"/>
      <c r="Q256" s="534"/>
      <c r="R256" s="534"/>
      <c r="S256" s="534"/>
      <c r="T256" s="534"/>
      <c r="U256" s="534"/>
      <c r="V256" s="534"/>
      <c r="W256" s="534"/>
      <c r="X256" s="534"/>
      <c r="Y256" s="534"/>
      <c r="Z256" s="534"/>
      <c r="AA256" s="534"/>
      <c r="AB256" s="534"/>
      <c r="AC256" s="534"/>
      <c r="AD256" s="534"/>
      <c r="AE256" s="534"/>
      <c r="AF256" s="534"/>
      <c r="AG256" s="534"/>
      <c r="AH256" s="534"/>
      <c r="AI256" s="534"/>
      <c r="AJ256" s="534"/>
      <c r="AK256" s="534"/>
    </row>
    <row r="257" spans="1:37" s="43" customFormat="1">
      <c r="A257" s="437">
        <v>46001</v>
      </c>
      <c r="B257" s="684" t="s">
        <v>293</v>
      </c>
      <c r="C257" s="680">
        <v>-5.32</v>
      </c>
      <c r="D257" s="406"/>
      <c r="E257" s="422"/>
      <c r="F257" s="31"/>
      <c r="G257" s="534"/>
      <c r="H257" s="534"/>
      <c r="I257" s="534"/>
      <c r="J257" s="534"/>
      <c r="K257" s="534"/>
      <c r="L257" s="534"/>
      <c r="M257" s="534"/>
      <c r="N257" s="534"/>
      <c r="O257" s="534"/>
      <c r="P257" s="534"/>
      <c r="Q257" s="534"/>
      <c r="R257" s="534"/>
      <c r="S257" s="534"/>
      <c r="T257" s="534"/>
      <c r="U257" s="534"/>
      <c r="V257" s="534"/>
      <c r="W257" s="534"/>
      <c r="X257" s="534"/>
      <c r="Y257" s="534"/>
      <c r="Z257" s="534"/>
      <c r="AA257" s="534"/>
      <c r="AB257" s="534"/>
      <c r="AC257" s="534"/>
      <c r="AD257" s="534"/>
      <c r="AE257" s="534"/>
      <c r="AF257" s="534"/>
      <c r="AG257" s="534"/>
      <c r="AH257" s="534"/>
      <c r="AI257" s="534"/>
      <c r="AJ257" s="534"/>
      <c r="AK257" s="534"/>
    </row>
    <row r="258" spans="1:37" s="43" customFormat="1">
      <c r="A258" s="437">
        <v>46002</v>
      </c>
      <c r="B258" s="684" t="s">
        <v>294</v>
      </c>
      <c r="C258" s="680">
        <v>-72.989999999999995</v>
      </c>
      <c r="D258" s="406"/>
      <c r="E258" s="422"/>
      <c r="F258" s="31"/>
      <c r="G258" s="534"/>
      <c r="H258" s="534"/>
      <c r="I258" s="534"/>
      <c r="J258" s="534"/>
      <c r="K258" s="534"/>
      <c r="L258" s="534"/>
      <c r="M258" s="534"/>
      <c r="N258" s="534"/>
      <c r="O258" s="534"/>
      <c r="P258" s="534"/>
      <c r="Q258" s="534"/>
      <c r="R258" s="534"/>
      <c r="S258" s="534"/>
      <c r="T258" s="534"/>
      <c r="U258" s="534"/>
      <c r="V258" s="534"/>
      <c r="W258" s="534"/>
      <c r="X258" s="534"/>
      <c r="Y258" s="534"/>
      <c r="Z258" s="534"/>
      <c r="AA258" s="534"/>
      <c r="AB258" s="534"/>
      <c r="AC258" s="534"/>
      <c r="AD258" s="534"/>
      <c r="AE258" s="534"/>
      <c r="AF258" s="534"/>
      <c r="AG258" s="534"/>
      <c r="AH258" s="534"/>
      <c r="AI258" s="534"/>
      <c r="AJ258" s="534"/>
      <c r="AK258" s="534"/>
    </row>
    <row r="259" spans="1:37" s="43" customFormat="1">
      <c r="A259" s="437">
        <v>46002</v>
      </c>
      <c r="B259" s="684" t="s">
        <v>295</v>
      </c>
      <c r="C259" s="680">
        <v>-15.99</v>
      </c>
      <c r="D259" s="406"/>
      <c r="E259" s="422"/>
      <c r="F259" s="31"/>
      <c r="G259" s="534"/>
      <c r="H259" s="534"/>
      <c r="I259" s="534"/>
      <c r="J259" s="534"/>
      <c r="K259" s="534"/>
      <c r="L259" s="534"/>
      <c r="M259" s="534"/>
      <c r="N259" s="534"/>
      <c r="O259" s="534"/>
      <c r="P259" s="534"/>
      <c r="Q259" s="534"/>
      <c r="R259" s="534"/>
      <c r="S259" s="534"/>
      <c r="T259" s="534"/>
      <c r="U259" s="534"/>
      <c r="V259" s="534"/>
      <c r="W259" s="534"/>
      <c r="X259" s="534"/>
      <c r="Y259" s="534"/>
      <c r="Z259" s="534"/>
      <c r="AA259" s="534"/>
      <c r="AB259" s="534"/>
      <c r="AC259" s="534"/>
      <c r="AD259" s="534"/>
      <c r="AE259" s="534"/>
      <c r="AF259" s="534"/>
      <c r="AG259" s="534"/>
      <c r="AH259" s="534"/>
      <c r="AI259" s="534"/>
      <c r="AJ259" s="534"/>
      <c r="AK259" s="534"/>
    </row>
    <row r="260" spans="1:37" s="43" customFormat="1">
      <c r="A260" s="437">
        <v>46003</v>
      </c>
      <c r="B260" s="684" t="s">
        <v>296</v>
      </c>
      <c r="C260" s="680">
        <v>-69.989999999999995</v>
      </c>
      <c r="D260" s="406"/>
      <c r="E260" s="422"/>
      <c r="F260" s="31"/>
      <c r="G260" s="534"/>
      <c r="H260" s="534"/>
      <c r="I260" s="534"/>
      <c r="J260" s="534"/>
      <c r="K260" s="534"/>
      <c r="L260" s="534"/>
      <c r="M260" s="534"/>
      <c r="N260" s="534"/>
      <c r="O260" s="534"/>
      <c r="P260" s="534"/>
      <c r="Q260" s="534"/>
      <c r="R260" s="534"/>
      <c r="S260" s="534"/>
      <c r="T260" s="534"/>
      <c r="U260" s="534"/>
      <c r="V260" s="534"/>
      <c r="W260" s="534"/>
      <c r="X260" s="534"/>
      <c r="Y260" s="534"/>
      <c r="Z260" s="534"/>
      <c r="AA260" s="534"/>
      <c r="AB260" s="534"/>
      <c r="AC260" s="534"/>
      <c r="AD260" s="534"/>
      <c r="AE260" s="534"/>
      <c r="AF260" s="534"/>
      <c r="AG260" s="534"/>
      <c r="AH260" s="534"/>
      <c r="AI260" s="534"/>
      <c r="AJ260" s="534"/>
      <c r="AK260" s="534"/>
    </row>
    <row r="261" spans="1:37" s="43" customFormat="1">
      <c r="A261" s="437">
        <v>46003</v>
      </c>
      <c r="B261" s="684" t="s">
        <v>297</v>
      </c>
      <c r="C261" s="680">
        <v>-29.98</v>
      </c>
      <c r="D261" s="406"/>
      <c r="E261" s="422"/>
      <c r="F261" s="31"/>
      <c r="G261" s="534"/>
      <c r="H261" s="534"/>
      <c r="I261" s="534"/>
      <c r="J261" s="534"/>
      <c r="K261" s="534"/>
      <c r="L261" s="534"/>
      <c r="M261" s="534"/>
      <c r="N261" s="534"/>
      <c r="O261" s="534"/>
      <c r="P261" s="534"/>
      <c r="Q261" s="534"/>
      <c r="R261" s="534"/>
      <c r="S261" s="534"/>
      <c r="T261" s="534"/>
      <c r="U261" s="534"/>
      <c r="V261" s="534"/>
      <c r="W261" s="534"/>
      <c r="X261" s="534"/>
      <c r="Y261" s="534"/>
      <c r="Z261" s="534"/>
      <c r="AA261" s="534"/>
      <c r="AB261" s="534"/>
      <c r="AC261" s="534"/>
      <c r="AD261" s="534"/>
      <c r="AE261" s="534"/>
      <c r="AF261" s="534"/>
      <c r="AG261" s="534"/>
      <c r="AH261" s="534"/>
      <c r="AI261" s="534"/>
      <c r="AJ261" s="534"/>
      <c r="AK261" s="534"/>
    </row>
    <row r="262" spans="1:37" s="43" customFormat="1">
      <c r="A262" s="437">
        <v>46003</v>
      </c>
      <c r="B262" s="684" t="s">
        <v>298</v>
      </c>
      <c r="C262" s="680">
        <v>-20.2</v>
      </c>
      <c r="D262" s="406"/>
      <c r="E262" s="422"/>
      <c r="F262" s="31"/>
      <c r="G262" s="534"/>
      <c r="H262" s="534"/>
      <c r="I262" s="534"/>
      <c r="J262" s="534"/>
      <c r="K262" s="534"/>
      <c r="L262" s="534"/>
      <c r="M262" s="534"/>
      <c r="N262" s="534"/>
      <c r="O262" s="534"/>
      <c r="P262" s="534"/>
      <c r="Q262" s="534"/>
      <c r="R262" s="534"/>
      <c r="S262" s="534"/>
      <c r="T262" s="534"/>
      <c r="U262" s="534"/>
      <c r="V262" s="534"/>
      <c r="W262" s="534"/>
      <c r="X262" s="534"/>
      <c r="Y262" s="534"/>
      <c r="Z262" s="534"/>
      <c r="AA262" s="534"/>
      <c r="AB262" s="534"/>
      <c r="AC262" s="534"/>
      <c r="AD262" s="534"/>
      <c r="AE262" s="534"/>
      <c r="AF262" s="534"/>
      <c r="AG262" s="534"/>
      <c r="AH262" s="534"/>
      <c r="AI262" s="534"/>
      <c r="AJ262" s="534"/>
      <c r="AK262" s="534"/>
    </row>
    <row r="263" spans="1:37" s="43" customFormat="1">
      <c r="A263" s="682">
        <v>46003</v>
      </c>
      <c r="B263" s="710" t="s">
        <v>299</v>
      </c>
      <c r="C263" s="707">
        <v>-458.73</v>
      </c>
      <c r="D263" s="406"/>
      <c r="E263" s="422"/>
      <c r="F263" s="31"/>
      <c r="G263" s="534"/>
      <c r="H263" s="534"/>
      <c r="I263" s="534"/>
      <c r="J263" s="534"/>
      <c r="K263" s="534"/>
      <c r="L263" s="534"/>
      <c r="M263" s="534"/>
      <c r="N263" s="534"/>
      <c r="O263" s="534"/>
      <c r="P263" s="534"/>
      <c r="Q263" s="534"/>
      <c r="R263" s="534"/>
      <c r="S263" s="534"/>
      <c r="T263" s="534"/>
      <c r="U263" s="534"/>
      <c r="V263" s="534"/>
      <c r="W263" s="534"/>
      <c r="X263" s="534"/>
      <c r="Y263" s="534"/>
      <c r="Z263" s="534"/>
      <c r="AA263" s="534"/>
      <c r="AB263" s="534"/>
      <c r="AC263" s="534"/>
      <c r="AD263" s="534"/>
      <c r="AE263" s="534"/>
      <c r="AF263" s="534"/>
      <c r="AG263" s="534"/>
      <c r="AH263" s="534"/>
      <c r="AI263" s="534"/>
      <c r="AJ263" s="534"/>
      <c r="AK263" s="534"/>
    </row>
    <row r="264" spans="1:37" s="43" customFormat="1">
      <c r="A264" s="437">
        <v>46004</v>
      </c>
      <c r="B264" s="684" t="s">
        <v>265</v>
      </c>
      <c r="C264" s="680">
        <v>-7.99</v>
      </c>
      <c r="D264" s="406"/>
      <c r="E264" s="422"/>
      <c r="F264" s="31"/>
      <c r="G264" s="534"/>
      <c r="H264" s="534"/>
      <c r="I264" s="534"/>
      <c r="J264" s="534"/>
      <c r="K264" s="534"/>
      <c r="L264" s="534"/>
      <c r="M264" s="534"/>
      <c r="N264" s="534"/>
      <c r="O264" s="534"/>
      <c r="P264" s="534"/>
      <c r="Q264" s="534"/>
      <c r="R264" s="534"/>
      <c r="S264" s="534"/>
      <c r="T264" s="534"/>
      <c r="U264" s="534"/>
      <c r="V264" s="534"/>
      <c r="W264" s="534"/>
      <c r="X264" s="534"/>
      <c r="Y264" s="534"/>
      <c r="Z264" s="534"/>
      <c r="AA264" s="534"/>
      <c r="AB264" s="534"/>
      <c r="AC264" s="534"/>
      <c r="AD264" s="534"/>
      <c r="AE264" s="534"/>
      <c r="AF264" s="534"/>
      <c r="AG264" s="534"/>
      <c r="AH264" s="534"/>
      <c r="AI264" s="534"/>
      <c r="AJ264" s="534"/>
      <c r="AK264" s="534"/>
    </row>
    <row r="265" spans="1:37" s="43" customFormat="1">
      <c r="A265" s="682">
        <v>46004</v>
      </c>
      <c r="B265" s="710" t="s">
        <v>300</v>
      </c>
      <c r="C265" s="707">
        <v>-380</v>
      </c>
      <c r="D265" s="406"/>
      <c r="E265" s="422"/>
      <c r="F265" s="31"/>
      <c r="G265" s="534"/>
      <c r="H265" s="534"/>
      <c r="I265" s="534"/>
      <c r="J265" s="534"/>
      <c r="K265" s="534"/>
      <c r="L265" s="534"/>
      <c r="M265" s="534"/>
      <c r="N265" s="534"/>
      <c r="O265" s="534"/>
      <c r="P265" s="534"/>
      <c r="Q265" s="534"/>
      <c r="R265" s="534"/>
      <c r="S265" s="534"/>
      <c r="T265" s="534"/>
      <c r="U265" s="534"/>
      <c r="V265" s="534"/>
      <c r="W265" s="534"/>
      <c r="X265" s="534"/>
      <c r="Y265" s="534"/>
      <c r="Z265" s="534"/>
      <c r="AA265" s="534"/>
      <c r="AB265" s="534"/>
      <c r="AC265" s="534"/>
      <c r="AD265" s="534"/>
      <c r="AE265" s="534"/>
      <c r="AF265" s="534"/>
      <c r="AG265" s="534"/>
      <c r="AH265" s="534"/>
      <c r="AI265" s="534"/>
      <c r="AJ265" s="534"/>
      <c r="AK265" s="534"/>
    </row>
    <row r="266" spans="1:37" s="43" customFormat="1">
      <c r="A266" s="437">
        <v>46006</v>
      </c>
      <c r="B266" s="684" t="s">
        <v>265</v>
      </c>
      <c r="C266" s="680">
        <v>-37.32</v>
      </c>
      <c r="D266" s="406"/>
      <c r="E266" s="422"/>
      <c r="F266" s="31"/>
      <c r="G266" s="534"/>
      <c r="H266" s="534"/>
      <c r="I266" s="534"/>
      <c r="J266" s="534"/>
      <c r="K266" s="534"/>
      <c r="L266" s="534"/>
      <c r="M266" s="534"/>
      <c r="N266" s="534"/>
      <c r="O266" s="534"/>
      <c r="P266" s="534"/>
      <c r="Q266" s="534"/>
      <c r="R266" s="534"/>
      <c r="S266" s="534"/>
      <c r="T266" s="534"/>
      <c r="U266" s="534"/>
      <c r="V266" s="534"/>
      <c r="W266" s="534"/>
      <c r="X266" s="534"/>
      <c r="Y266" s="534"/>
      <c r="Z266" s="534"/>
      <c r="AA266" s="534"/>
      <c r="AB266" s="534"/>
      <c r="AC266" s="534"/>
      <c r="AD266" s="534"/>
      <c r="AE266" s="534"/>
      <c r="AF266" s="534"/>
      <c r="AG266" s="534"/>
      <c r="AH266" s="534"/>
      <c r="AI266" s="534"/>
      <c r="AJ266" s="534"/>
      <c r="AK266" s="534"/>
    </row>
    <row r="267" spans="1:37" s="43" customFormat="1">
      <c r="A267" s="437">
        <v>46006</v>
      </c>
      <c r="B267" s="684" t="s">
        <v>301</v>
      </c>
      <c r="C267" s="680">
        <v>-38.99</v>
      </c>
      <c r="D267" s="406"/>
      <c r="E267" s="422"/>
      <c r="F267" s="31"/>
      <c r="G267" s="534"/>
      <c r="H267" s="534"/>
      <c r="I267" s="534"/>
      <c r="J267" s="534"/>
      <c r="K267" s="534"/>
      <c r="L267" s="534"/>
      <c r="M267" s="534"/>
      <c r="N267" s="534"/>
      <c r="O267" s="534"/>
      <c r="P267" s="534"/>
      <c r="Q267" s="534"/>
      <c r="R267" s="534"/>
      <c r="S267" s="534"/>
      <c r="T267" s="534"/>
      <c r="U267" s="534"/>
      <c r="V267" s="534"/>
      <c r="W267" s="534"/>
      <c r="X267" s="534"/>
      <c r="Y267" s="534"/>
      <c r="Z267" s="534"/>
      <c r="AA267" s="534"/>
      <c r="AB267" s="534"/>
      <c r="AC267" s="534"/>
      <c r="AD267" s="534"/>
      <c r="AE267" s="534"/>
      <c r="AF267" s="534"/>
      <c r="AG267" s="534"/>
      <c r="AH267" s="534"/>
      <c r="AI267" s="534"/>
      <c r="AJ267" s="534"/>
      <c r="AK267" s="534"/>
    </row>
    <row r="268" spans="1:37" s="43" customFormat="1">
      <c r="A268" s="437">
        <v>46007</v>
      </c>
      <c r="B268" s="684" t="s">
        <v>265</v>
      </c>
      <c r="C268" s="680">
        <v>-53.73</v>
      </c>
      <c r="D268" s="406"/>
      <c r="E268" s="422"/>
      <c r="F268" s="31"/>
      <c r="G268" s="534"/>
      <c r="H268" s="534"/>
      <c r="I268" s="534"/>
      <c r="J268" s="534"/>
      <c r="K268" s="534"/>
      <c r="L268" s="534"/>
      <c r="M268" s="534"/>
      <c r="N268" s="534"/>
      <c r="O268" s="534"/>
      <c r="P268" s="534"/>
      <c r="Q268" s="534"/>
      <c r="R268" s="534"/>
      <c r="S268" s="534"/>
      <c r="T268" s="534"/>
      <c r="U268" s="534"/>
      <c r="V268" s="534"/>
      <c r="W268" s="534"/>
      <c r="X268" s="534"/>
      <c r="Y268" s="534"/>
      <c r="Z268" s="534"/>
      <c r="AA268" s="534"/>
      <c r="AB268" s="534"/>
      <c r="AC268" s="534"/>
      <c r="AD268" s="534"/>
      <c r="AE268" s="534"/>
      <c r="AF268" s="534"/>
      <c r="AG268" s="534"/>
      <c r="AH268" s="534"/>
      <c r="AI268" s="534"/>
      <c r="AJ268" s="534"/>
      <c r="AK268" s="534"/>
    </row>
    <row r="269" spans="1:37" s="43" customFormat="1">
      <c r="A269" s="437">
        <v>46007</v>
      </c>
      <c r="B269" s="684" t="s">
        <v>302</v>
      </c>
      <c r="C269" s="680">
        <v>-6.5</v>
      </c>
      <c r="D269" s="406"/>
      <c r="E269" s="422"/>
      <c r="F269" s="31"/>
      <c r="G269" s="534"/>
      <c r="H269" s="534"/>
      <c r="I269" s="534"/>
      <c r="J269" s="534"/>
      <c r="K269" s="534"/>
      <c r="L269" s="534"/>
      <c r="M269" s="534"/>
      <c r="N269" s="534"/>
      <c r="O269" s="534"/>
      <c r="P269" s="534"/>
      <c r="Q269" s="534"/>
      <c r="R269" s="534"/>
      <c r="S269" s="534"/>
      <c r="T269" s="534"/>
      <c r="U269" s="534"/>
      <c r="V269" s="534"/>
      <c r="W269" s="534"/>
      <c r="X269" s="534"/>
      <c r="Y269" s="534"/>
      <c r="Z269" s="534"/>
      <c r="AA269" s="534"/>
      <c r="AB269" s="534"/>
      <c r="AC269" s="534"/>
      <c r="AD269" s="534"/>
      <c r="AE269" s="534"/>
      <c r="AF269" s="534"/>
      <c r="AG269" s="534"/>
      <c r="AH269" s="534"/>
      <c r="AI269" s="534"/>
      <c r="AJ269" s="534"/>
      <c r="AK269" s="534"/>
    </row>
    <row r="270" spans="1:37" s="43" customFormat="1">
      <c r="A270" s="437">
        <v>46007</v>
      </c>
      <c r="B270" s="684" t="s">
        <v>303</v>
      </c>
      <c r="C270" s="680">
        <v>-38.729999999999997</v>
      </c>
      <c r="D270" s="406"/>
      <c r="E270" s="422"/>
      <c r="F270" s="31"/>
      <c r="G270" s="534"/>
      <c r="H270" s="534"/>
      <c r="I270" s="534"/>
      <c r="J270" s="534"/>
      <c r="K270" s="534"/>
      <c r="L270" s="534"/>
      <c r="M270" s="534"/>
      <c r="N270" s="534"/>
      <c r="O270" s="534"/>
      <c r="P270" s="534"/>
      <c r="Q270" s="534"/>
      <c r="R270" s="534"/>
      <c r="S270" s="534"/>
      <c r="T270" s="534"/>
      <c r="U270" s="534"/>
      <c r="V270" s="534"/>
      <c r="W270" s="534"/>
      <c r="X270" s="534"/>
      <c r="Y270" s="534"/>
      <c r="Z270" s="534"/>
      <c r="AA270" s="534"/>
      <c r="AB270" s="534"/>
      <c r="AC270" s="534"/>
      <c r="AD270" s="534"/>
      <c r="AE270" s="534"/>
      <c r="AF270" s="534"/>
      <c r="AG270" s="534"/>
      <c r="AH270" s="534"/>
      <c r="AI270" s="534"/>
      <c r="AJ270" s="534"/>
      <c r="AK270" s="534"/>
    </row>
    <row r="271" spans="1:37" s="43" customFormat="1">
      <c r="A271" s="437">
        <v>46007</v>
      </c>
      <c r="B271" s="684" t="s">
        <v>304</v>
      </c>
      <c r="C271" s="680">
        <v>-13.5</v>
      </c>
      <c r="D271" s="406"/>
      <c r="E271" s="422"/>
      <c r="F271" s="31"/>
      <c r="G271" s="534"/>
      <c r="H271" s="534"/>
      <c r="I271" s="534"/>
      <c r="J271" s="534"/>
      <c r="K271" s="534"/>
      <c r="L271" s="534"/>
      <c r="M271" s="534"/>
      <c r="N271" s="534"/>
      <c r="O271" s="534"/>
      <c r="P271" s="534"/>
      <c r="Q271" s="534"/>
      <c r="R271" s="534"/>
      <c r="S271" s="534"/>
      <c r="T271" s="534"/>
      <c r="U271" s="534"/>
      <c r="V271" s="534"/>
      <c r="W271" s="534"/>
      <c r="X271" s="534"/>
      <c r="Y271" s="534"/>
      <c r="Z271" s="534"/>
      <c r="AA271" s="534"/>
      <c r="AB271" s="534"/>
      <c r="AC271" s="534"/>
      <c r="AD271" s="534"/>
      <c r="AE271" s="534"/>
      <c r="AF271" s="534"/>
      <c r="AG271" s="534"/>
      <c r="AH271" s="534"/>
      <c r="AI271" s="534"/>
      <c r="AJ271" s="534"/>
      <c r="AK271" s="534"/>
    </row>
    <row r="272" spans="1:37" s="43" customFormat="1">
      <c r="A272" s="437">
        <v>46007</v>
      </c>
      <c r="B272" s="684" t="s">
        <v>305</v>
      </c>
      <c r="C272" s="680">
        <v>-75</v>
      </c>
      <c r="D272" s="406"/>
      <c r="E272" s="422"/>
      <c r="F272" s="31"/>
      <c r="G272" s="534"/>
      <c r="H272" s="534"/>
      <c r="I272" s="534"/>
      <c r="J272" s="534"/>
      <c r="K272" s="534"/>
      <c r="L272" s="534"/>
      <c r="M272" s="534"/>
      <c r="N272" s="534"/>
      <c r="O272" s="534"/>
      <c r="P272" s="534"/>
      <c r="Q272" s="534"/>
      <c r="R272" s="534"/>
      <c r="S272" s="534"/>
      <c r="T272" s="534"/>
      <c r="U272" s="534"/>
      <c r="V272" s="534"/>
      <c r="W272" s="534"/>
      <c r="X272" s="534"/>
      <c r="Y272" s="534"/>
      <c r="Z272" s="534"/>
      <c r="AA272" s="534"/>
      <c r="AB272" s="534"/>
      <c r="AC272" s="534"/>
      <c r="AD272" s="534"/>
      <c r="AE272" s="534"/>
      <c r="AF272" s="534"/>
      <c r="AG272" s="534"/>
      <c r="AH272" s="534"/>
      <c r="AI272" s="534"/>
      <c r="AJ272" s="534"/>
      <c r="AK272" s="534"/>
    </row>
    <row r="273" spans="1:46" s="43" customFormat="1">
      <c r="A273" s="437">
        <v>46008</v>
      </c>
      <c r="B273" s="684" t="s">
        <v>306</v>
      </c>
      <c r="C273" s="680">
        <v>-18.989999999999998</v>
      </c>
      <c r="D273" s="406"/>
      <c r="E273" s="422"/>
      <c r="F273" s="31"/>
      <c r="G273" s="534"/>
      <c r="H273" s="534"/>
      <c r="I273" s="534"/>
      <c r="J273" s="534"/>
      <c r="K273" s="534"/>
      <c r="L273" s="534"/>
      <c r="M273" s="534"/>
      <c r="N273" s="534"/>
      <c r="O273" s="534"/>
      <c r="P273" s="534"/>
      <c r="Q273" s="534"/>
      <c r="R273" s="534"/>
      <c r="S273" s="534"/>
      <c r="T273" s="534"/>
      <c r="U273" s="534"/>
      <c r="V273" s="534"/>
      <c r="W273" s="534"/>
      <c r="X273" s="534"/>
      <c r="Y273" s="534"/>
      <c r="Z273" s="534"/>
      <c r="AA273" s="534"/>
      <c r="AB273" s="534"/>
      <c r="AC273" s="534"/>
      <c r="AD273" s="534"/>
      <c r="AE273" s="534"/>
      <c r="AF273" s="534"/>
      <c r="AG273" s="534"/>
      <c r="AH273" s="534"/>
      <c r="AI273" s="534"/>
      <c r="AJ273" s="534"/>
      <c r="AK273" s="534"/>
      <c r="AL273" s="534"/>
      <c r="AM273" s="534"/>
      <c r="AN273" s="534"/>
      <c r="AO273" s="534"/>
      <c r="AP273" s="534"/>
      <c r="AQ273" s="534"/>
      <c r="AR273" s="534"/>
      <c r="AS273" s="534"/>
      <c r="AT273" s="534"/>
    </row>
    <row r="274" spans="1:46" s="43" customFormat="1">
      <c r="A274" s="437">
        <v>46008</v>
      </c>
      <c r="B274" s="684" t="s">
        <v>307</v>
      </c>
      <c r="C274" s="680">
        <v>-75</v>
      </c>
      <c r="D274" s="406"/>
      <c r="E274" s="422"/>
      <c r="F274" s="31"/>
      <c r="G274" s="534"/>
      <c r="H274" s="534"/>
      <c r="I274" s="534"/>
      <c r="J274" s="534"/>
      <c r="K274" s="534"/>
      <c r="L274" s="534"/>
      <c r="M274" s="534"/>
      <c r="N274" s="534"/>
      <c r="O274" s="534"/>
      <c r="P274" s="534"/>
      <c r="Q274" s="534"/>
      <c r="R274" s="534"/>
      <c r="S274" s="534"/>
      <c r="T274" s="534"/>
      <c r="U274" s="534"/>
      <c r="V274" s="534"/>
      <c r="W274" s="534"/>
      <c r="X274" s="534"/>
      <c r="Y274" s="534"/>
      <c r="Z274" s="534"/>
      <c r="AA274" s="534"/>
      <c r="AB274" s="534"/>
      <c r="AC274" s="534"/>
      <c r="AD274" s="534"/>
      <c r="AE274" s="534"/>
      <c r="AF274" s="534"/>
      <c r="AG274" s="534"/>
      <c r="AH274" s="534"/>
      <c r="AI274" s="534"/>
      <c r="AJ274" s="534"/>
      <c r="AK274" s="534"/>
      <c r="AL274" s="534"/>
      <c r="AM274" s="534"/>
      <c r="AN274" s="534"/>
      <c r="AO274" s="534"/>
      <c r="AP274" s="534"/>
      <c r="AQ274" s="534"/>
      <c r="AR274" s="534"/>
      <c r="AS274" s="534"/>
      <c r="AT274" s="534"/>
    </row>
    <row r="275" spans="1:46" s="43" customFormat="1">
      <c r="A275" s="437">
        <v>46008</v>
      </c>
      <c r="B275" s="684" t="s">
        <v>308</v>
      </c>
      <c r="C275" s="680">
        <v>-50</v>
      </c>
      <c r="D275" s="406"/>
      <c r="E275" s="422"/>
      <c r="F275" s="31"/>
      <c r="G275" s="534"/>
      <c r="H275" s="534"/>
      <c r="I275" s="534"/>
      <c r="J275" s="534"/>
      <c r="K275" s="534"/>
      <c r="L275" s="534"/>
      <c r="M275" s="534"/>
      <c r="N275" s="534"/>
      <c r="O275" s="534"/>
      <c r="P275" s="534"/>
      <c r="Q275" s="534"/>
      <c r="R275" s="534"/>
      <c r="S275" s="534"/>
      <c r="T275" s="534"/>
      <c r="U275" s="534"/>
      <c r="V275" s="534"/>
      <c r="W275" s="534"/>
      <c r="X275" s="534"/>
      <c r="Y275" s="534"/>
      <c r="Z275" s="534"/>
      <c r="AA275" s="534"/>
      <c r="AB275" s="534"/>
      <c r="AC275" s="534"/>
      <c r="AD275" s="534"/>
      <c r="AE275" s="534"/>
      <c r="AF275" s="534"/>
      <c r="AG275" s="534"/>
      <c r="AH275" s="534"/>
      <c r="AI275" s="534"/>
      <c r="AJ275" s="534"/>
      <c r="AK275" s="534"/>
      <c r="AL275" s="534"/>
      <c r="AM275" s="534"/>
      <c r="AN275" s="534"/>
      <c r="AO275" s="534"/>
      <c r="AP275" s="534"/>
      <c r="AQ275" s="534"/>
      <c r="AR275" s="534"/>
      <c r="AS275" s="534"/>
      <c r="AT275" s="534"/>
    </row>
    <row r="276" spans="1:46" s="43" customFormat="1">
      <c r="A276" s="437">
        <v>46010</v>
      </c>
      <c r="B276" s="684" t="s">
        <v>265</v>
      </c>
      <c r="C276" s="680">
        <v>-6.41</v>
      </c>
      <c r="D276" s="406"/>
      <c r="E276" s="422"/>
      <c r="F276" s="31"/>
      <c r="G276" s="534"/>
      <c r="H276" s="534"/>
      <c r="I276" s="534"/>
      <c r="J276" s="534"/>
      <c r="K276" s="534"/>
      <c r="L276" s="534"/>
      <c r="M276" s="534"/>
      <c r="N276" s="534"/>
      <c r="O276" s="534"/>
      <c r="P276" s="534"/>
      <c r="Q276" s="534"/>
      <c r="R276" s="534"/>
      <c r="S276" s="534"/>
      <c r="T276" s="534"/>
      <c r="U276" s="534"/>
      <c r="V276" s="534"/>
      <c r="W276" s="534"/>
      <c r="X276" s="534"/>
      <c r="Y276" s="534"/>
      <c r="Z276" s="534"/>
      <c r="AA276" s="534"/>
      <c r="AB276" s="534"/>
      <c r="AC276" s="534"/>
      <c r="AD276" s="534"/>
      <c r="AE276" s="534"/>
      <c r="AF276" s="534"/>
      <c r="AG276" s="534"/>
      <c r="AH276" s="534"/>
      <c r="AI276" s="534"/>
      <c r="AJ276" s="534"/>
      <c r="AK276" s="534"/>
      <c r="AL276" s="534"/>
      <c r="AM276" s="534"/>
      <c r="AN276" s="534"/>
      <c r="AO276" s="534"/>
      <c r="AP276" s="534"/>
      <c r="AQ276" s="534"/>
      <c r="AR276" s="534"/>
      <c r="AS276" s="534"/>
      <c r="AT276" s="534"/>
    </row>
    <row r="277" spans="1:46" s="43" customFormat="1">
      <c r="A277" s="437">
        <v>46010</v>
      </c>
      <c r="B277" s="684" t="s">
        <v>265</v>
      </c>
      <c r="C277" s="680">
        <v>-7.99</v>
      </c>
      <c r="D277" s="406"/>
      <c r="E277" s="422"/>
      <c r="F277" s="31"/>
      <c r="G277" s="534"/>
      <c r="H277" s="534"/>
      <c r="I277" s="534"/>
      <c r="J277" s="534"/>
      <c r="K277" s="534"/>
      <c r="L277" s="534"/>
      <c r="M277" s="534"/>
      <c r="N277" s="534"/>
      <c r="O277" s="534"/>
      <c r="P277" s="534"/>
      <c r="Q277" s="534"/>
      <c r="R277" s="534"/>
      <c r="S277" s="534"/>
      <c r="T277" s="534"/>
      <c r="U277" s="534"/>
      <c r="V277" s="534"/>
      <c r="W277" s="534"/>
      <c r="X277" s="534"/>
      <c r="Y277" s="534"/>
      <c r="Z277" s="534"/>
      <c r="AA277" s="534"/>
      <c r="AB277" s="534"/>
      <c r="AC277" s="534"/>
      <c r="AD277" s="534"/>
      <c r="AE277" s="534"/>
      <c r="AF277" s="534"/>
      <c r="AG277" s="534"/>
      <c r="AH277" s="534"/>
      <c r="AI277" s="534"/>
      <c r="AJ277" s="534"/>
      <c r="AK277" s="534"/>
      <c r="AL277" s="534"/>
      <c r="AM277" s="534"/>
      <c r="AN277" s="534"/>
      <c r="AO277" s="534"/>
      <c r="AP277" s="534"/>
      <c r="AQ277" s="534"/>
      <c r="AR277" s="534"/>
      <c r="AS277" s="534"/>
      <c r="AT277" s="534"/>
    </row>
    <row r="278" spans="1:46" s="43" customFormat="1">
      <c r="A278" s="437">
        <v>46011</v>
      </c>
      <c r="B278" s="684" t="s">
        <v>309</v>
      </c>
      <c r="C278" s="680">
        <v>-9.99</v>
      </c>
      <c r="D278" s="406"/>
      <c r="E278" s="422"/>
      <c r="F278" s="31"/>
      <c r="G278" s="534"/>
      <c r="H278" s="534"/>
      <c r="I278" s="534"/>
      <c r="J278" s="534"/>
      <c r="K278" s="534"/>
      <c r="L278" s="534"/>
      <c r="M278" s="534"/>
      <c r="N278" s="534"/>
      <c r="O278" s="534"/>
      <c r="P278" s="534"/>
      <c r="Q278" s="534"/>
      <c r="R278" s="534"/>
      <c r="S278" s="534"/>
      <c r="T278" s="534"/>
      <c r="U278" s="534"/>
      <c r="V278" s="534"/>
      <c r="W278" s="534"/>
      <c r="X278" s="534"/>
      <c r="Y278" s="534"/>
      <c r="Z278" s="534"/>
      <c r="AA278" s="534"/>
      <c r="AB278" s="534"/>
      <c r="AC278" s="534"/>
      <c r="AD278" s="534"/>
      <c r="AE278" s="534"/>
      <c r="AF278" s="534"/>
      <c r="AG278" s="534"/>
      <c r="AH278" s="534"/>
      <c r="AI278" s="534"/>
      <c r="AJ278" s="534"/>
      <c r="AK278" s="534"/>
      <c r="AL278" s="534"/>
      <c r="AM278" s="534"/>
      <c r="AN278" s="534"/>
      <c r="AO278" s="534"/>
      <c r="AP278" s="534"/>
      <c r="AQ278" s="534"/>
      <c r="AR278" s="534"/>
      <c r="AS278" s="534"/>
      <c r="AT278" s="534"/>
    </row>
    <row r="279" spans="1:46" s="43" customFormat="1">
      <c r="A279" s="437">
        <v>46013</v>
      </c>
      <c r="B279" s="684" t="s">
        <v>265</v>
      </c>
      <c r="C279" s="680">
        <v>-14.19</v>
      </c>
      <c r="D279" s="406"/>
      <c r="E279" s="422"/>
      <c r="F279" s="31"/>
      <c r="G279" s="534"/>
      <c r="H279" s="534"/>
      <c r="I279" s="534"/>
      <c r="J279" s="534"/>
      <c r="K279" s="534"/>
      <c r="L279" s="534"/>
      <c r="M279" s="534"/>
      <c r="N279" s="534"/>
      <c r="O279" s="534"/>
      <c r="P279" s="534"/>
      <c r="Q279" s="534"/>
      <c r="R279" s="534"/>
      <c r="S279" s="534"/>
      <c r="T279" s="534"/>
      <c r="U279" s="534"/>
      <c r="V279" s="534"/>
      <c r="W279" s="534"/>
      <c r="X279" s="534"/>
      <c r="Y279" s="534"/>
      <c r="Z279" s="534"/>
      <c r="AA279" s="534"/>
      <c r="AB279" s="534"/>
      <c r="AC279" s="534"/>
      <c r="AD279" s="534"/>
      <c r="AE279" s="534"/>
      <c r="AF279" s="534"/>
      <c r="AG279" s="534"/>
      <c r="AH279" s="534"/>
      <c r="AI279" s="534"/>
      <c r="AJ279" s="534"/>
      <c r="AK279" s="534"/>
      <c r="AL279" s="534"/>
      <c r="AM279" s="534"/>
      <c r="AN279" s="534"/>
      <c r="AO279" s="534"/>
      <c r="AP279" s="534"/>
      <c r="AQ279" s="534"/>
      <c r="AR279" s="534"/>
      <c r="AS279" s="534"/>
      <c r="AT279" s="534"/>
    </row>
    <row r="280" spans="1:46" s="43" customFormat="1">
      <c r="A280" s="437">
        <v>46013</v>
      </c>
      <c r="B280" s="684" t="s">
        <v>265</v>
      </c>
      <c r="C280" s="680">
        <v>-44.69</v>
      </c>
      <c r="D280" s="406"/>
      <c r="E280" s="422"/>
      <c r="F280" s="31"/>
      <c r="G280" s="534"/>
      <c r="H280" s="534"/>
      <c r="I280" s="534"/>
      <c r="J280" s="534"/>
      <c r="K280" s="534"/>
      <c r="L280" s="534"/>
      <c r="M280" s="534"/>
      <c r="N280" s="534"/>
      <c r="O280" s="534"/>
      <c r="P280" s="534"/>
      <c r="Q280" s="534"/>
      <c r="R280" s="534"/>
      <c r="S280" s="534"/>
      <c r="T280" s="534"/>
      <c r="U280" s="534"/>
      <c r="V280" s="534"/>
      <c r="W280" s="534"/>
      <c r="X280" s="534"/>
      <c r="Y280" s="534"/>
      <c r="Z280" s="534"/>
      <c r="AA280" s="534"/>
      <c r="AB280" s="534"/>
      <c r="AC280" s="534"/>
      <c r="AD280" s="534"/>
      <c r="AE280" s="534"/>
      <c r="AF280" s="534"/>
      <c r="AG280" s="534"/>
      <c r="AH280" s="534"/>
      <c r="AI280" s="534"/>
      <c r="AJ280" s="534"/>
      <c r="AK280" s="534"/>
      <c r="AL280" s="534"/>
      <c r="AM280" s="534"/>
      <c r="AN280" s="534"/>
      <c r="AO280" s="534"/>
      <c r="AP280" s="534"/>
      <c r="AQ280" s="534"/>
      <c r="AR280" s="534"/>
      <c r="AS280" s="534"/>
      <c r="AT280" s="534"/>
    </row>
    <row r="281" spans="1:46" s="43" customFormat="1">
      <c r="A281" s="437">
        <v>46013</v>
      </c>
      <c r="B281" s="684" t="s">
        <v>310</v>
      </c>
      <c r="C281" s="680">
        <v>-1</v>
      </c>
      <c r="D281" s="406"/>
      <c r="E281" s="422"/>
      <c r="F281" s="31"/>
      <c r="G281" s="534"/>
      <c r="H281" s="534"/>
      <c r="I281" s="534"/>
      <c r="J281" s="534"/>
      <c r="K281" s="534"/>
      <c r="L281" s="534"/>
      <c r="M281" s="534"/>
      <c r="N281" s="534"/>
      <c r="O281" s="534"/>
      <c r="P281" s="534"/>
      <c r="Q281" s="534"/>
      <c r="R281" s="534"/>
      <c r="S281" s="534"/>
      <c r="T281" s="534"/>
      <c r="U281" s="534"/>
      <c r="V281" s="534"/>
      <c r="W281" s="534"/>
      <c r="X281" s="534"/>
      <c r="Y281" s="534"/>
      <c r="Z281" s="534"/>
      <c r="AA281" s="534"/>
      <c r="AB281" s="534"/>
      <c r="AC281" s="534"/>
      <c r="AD281" s="534"/>
      <c r="AE281" s="534"/>
      <c r="AF281" s="534"/>
      <c r="AG281" s="534"/>
      <c r="AH281" s="534"/>
      <c r="AI281" s="534"/>
      <c r="AJ281" s="534"/>
      <c r="AK281" s="534"/>
      <c r="AL281" s="534"/>
      <c r="AM281" s="534"/>
      <c r="AN281" s="534"/>
      <c r="AO281" s="534"/>
      <c r="AP281" s="534"/>
      <c r="AQ281" s="534"/>
      <c r="AR281" s="534"/>
      <c r="AS281" s="534"/>
      <c r="AT281" s="534"/>
    </row>
    <row r="282" spans="1:46" s="43" customFormat="1">
      <c r="A282" s="437">
        <v>46014</v>
      </c>
      <c r="B282" s="684" t="s">
        <v>311</v>
      </c>
      <c r="C282" s="680"/>
      <c r="D282" s="680">
        <v>14237.49</v>
      </c>
      <c r="E282" s="422"/>
      <c r="F282" s="31"/>
      <c r="G282" s="534"/>
      <c r="H282" s="534"/>
      <c r="I282" s="534"/>
      <c r="J282" s="534"/>
      <c r="K282" s="534"/>
      <c r="L282" s="534"/>
      <c r="M282" s="534"/>
      <c r="N282" s="534"/>
      <c r="O282" s="534"/>
      <c r="P282" s="534"/>
      <c r="Q282" s="534"/>
      <c r="R282" s="534"/>
      <c r="S282" s="534"/>
      <c r="T282" s="534"/>
      <c r="U282" s="534"/>
      <c r="V282" s="534"/>
      <c r="W282" s="534"/>
      <c r="X282" s="534"/>
      <c r="Y282" s="534"/>
      <c r="Z282" s="534"/>
      <c r="AA282" s="534"/>
      <c r="AB282" s="534"/>
      <c r="AC282" s="534"/>
      <c r="AD282" s="534"/>
      <c r="AE282" s="534"/>
      <c r="AF282" s="534"/>
      <c r="AG282" s="534"/>
      <c r="AH282" s="534"/>
      <c r="AI282" s="534"/>
      <c r="AJ282" s="534"/>
      <c r="AK282" s="534"/>
      <c r="AL282" s="534"/>
      <c r="AM282" s="534"/>
      <c r="AN282" s="534"/>
      <c r="AO282" s="534"/>
      <c r="AP282" s="534"/>
      <c r="AQ282" s="534"/>
      <c r="AR282" s="534"/>
      <c r="AS282" s="534"/>
      <c r="AT282" s="534"/>
    </row>
    <row r="283" spans="1:46" s="43" customFormat="1">
      <c r="A283" s="437">
        <v>46015</v>
      </c>
      <c r="B283" s="684" t="s">
        <v>265</v>
      </c>
      <c r="C283" s="680">
        <v>-7.48</v>
      </c>
      <c r="D283" s="406"/>
      <c r="E283" s="422"/>
      <c r="F283" s="31"/>
      <c r="G283" s="534"/>
      <c r="H283" s="534"/>
      <c r="I283" s="534"/>
      <c r="J283" s="534"/>
      <c r="K283" s="534"/>
      <c r="L283" s="534"/>
      <c r="M283" s="534"/>
      <c r="N283" s="534"/>
      <c r="O283" s="534"/>
      <c r="P283" s="534"/>
      <c r="Q283" s="534"/>
      <c r="R283" s="534"/>
      <c r="S283" s="534"/>
      <c r="T283" s="534"/>
      <c r="U283" s="534"/>
      <c r="V283" s="534"/>
      <c r="W283" s="534"/>
      <c r="X283" s="534"/>
      <c r="Y283" s="534"/>
      <c r="Z283" s="534"/>
      <c r="AA283" s="534"/>
      <c r="AB283" s="534"/>
      <c r="AC283" s="534"/>
      <c r="AD283" s="534"/>
      <c r="AE283" s="534"/>
      <c r="AF283" s="534"/>
      <c r="AG283" s="534"/>
      <c r="AH283" s="534"/>
      <c r="AI283" s="534"/>
      <c r="AJ283" s="534"/>
      <c r="AK283" s="534"/>
      <c r="AL283" s="534"/>
      <c r="AM283" s="534"/>
      <c r="AN283" s="534"/>
      <c r="AO283" s="534"/>
      <c r="AP283" s="534"/>
      <c r="AQ283" s="534"/>
      <c r="AR283" s="534"/>
      <c r="AS283" s="534"/>
      <c r="AT283" s="534"/>
    </row>
    <row r="284" spans="1:46" s="43" customFormat="1">
      <c r="A284" s="437">
        <v>46015</v>
      </c>
      <c r="B284" s="684" t="s">
        <v>312</v>
      </c>
      <c r="C284" s="680">
        <v>-50</v>
      </c>
      <c r="D284" s="406"/>
      <c r="E284" s="422"/>
      <c r="F284" s="31"/>
      <c r="G284" s="534"/>
      <c r="H284" s="534"/>
      <c r="I284" s="534"/>
      <c r="J284" s="534"/>
      <c r="K284" s="534"/>
      <c r="L284" s="534"/>
      <c r="M284" s="534"/>
      <c r="N284" s="534"/>
      <c r="O284" s="534"/>
      <c r="P284" s="534"/>
      <c r="Q284" s="534"/>
      <c r="R284" s="534"/>
      <c r="S284" s="534"/>
      <c r="T284" s="534"/>
      <c r="U284" s="534"/>
      <c r="V284" s="534"/>
      <c r="W284" s="534"/>
      <c r="X284" s="534"/>
      <c r="Y284" s="534"/>
      <c r="Z284" s="534"/>
      <c r="AA284" s="534"/>
      <c r="AB284" s="534"/>
      <c r="AC284" s="534"/>
      <c r="AD284" s="534"/>
      <c r="AE284" s="534"/>
      <c r="AF284" s="534"/>
      <c r="AG284" s="534"/>
      <c r="AH284" s="534"/>
      <c r="AI284" s="534"/>
      <c r="AJ284" s="534"/>
      <c r="AK284" s="534"/>
      <c r="AL284" s="534"/>
      <c r="AM284" s="534"/>
      <c r="AN284" s="534"/>
      <c r="AO284" s="534"/>
      <c r="AP284" s="534"/>
      <c r="AQ284" s="534"/>
      <c r="AR284" s="534"/>
      <c r="AS284" s="534"/>
      <c r="AT284" s="534"/>
    </row>
    <row r="285" spans="1:46" s="43" customFormat="1">
      <c r="A285" s="437">
        <v>46017</v>
      </c>
      <c r="B285" s="684" t="s">
        <v>313</v>
      </c>
      <c r="C285" s="680">
        <v>-7.99</v>
      </c>
      <c r="D285" s="406"/>
      <c r="E285" s="422"/>
      <c r="F285" s="31"/>
      <c r="G285" s="534"/>
      <c r="H285" s="534"/>
      <c r="I285" s="534"/>
      <c r="J285" s="534"/>
      <c r="K285" s="534"/>
      <c r="L285" s="534"/>
      <c r="M285" s="534"/>
      <c r="N285" s="534"/>
      <c r="O285" s="534"/>
      <c r="P285" s="534"/>
      <c r="Q285" s="534"/>
      <c r="R285" s="534"/>
      <c r="S285" s="534"/>
      <c r="T285" s="534"/>
      <c r="U285" s="534"/>
      <c r="V285" s="534"/>
      <c r="W285" s="534"/>
      <c r="X285" s="534"/>
      <c r="Y285" s="534"/>
      <c r="Z285" s="534"/>
      <c r="AA285" s="534"/>
      <c r="AB285" s="534"/>
      <c r="AC285" s="534"/>
      <c r="AD285" s="534"/>
      <c r="AE285" s="534"/>
      <c r="AF285" s="534"/>
      <c r="AG285" s="534"/>
      <c r="AH285" s="534"/>
      <c r="AI285" s="534"/>
      <c r="AJ285" s="534"/>
      <c r="AK285" s="534"/>
      <c r="AL285" s="534"/>
      <c r="AM285" s="534"/>
      <c r="AN285" s="534"/>
      <c r="AO285" s="534"/>
      <c r="AP285" s="534"/>
      <c r="AQ285" s="534"/>
      <c r="AR285" s="534"/>
      <c r="AS285" s="534"/>
      <c r="AT285" s="534"/>
    </row>
    <row r="286" spans="1:46" s="43" customFormat="1">
      <c r="A286" s="437">
        <v>46017</v>
      </c>
      <c r="B286" s="684" t="s">
        <v>266</v>
      </c>
      <c r="C286" s="680">
        <v>155.15</v>
      </c>
      <c r="D286" s="406"/>
      <c r="E286" s="422"/>
      <c r="F286" s="31"/>
      <c r="G286" s="534"/>
      <c r="H286" s="534"/>
      <c r="I286" s="534"/>
      <c r="J286" s="534"/>
      <c r="K286" s="534"/>
      <c r="L286" s="534"/>
      <c r="M286" s="534"/>
      <c r="N286" s="534"/>
      <c r="O286" s="534"/>
      <c r="P286" s="534"/>
      <c r="Q286" s="534"/>
      <c r="R286" s="534"/>
      <c r="S286" s="534"/>
      <c r="T286" s="534"/>
      <c r="U286" s="534"/>
      <c r="V286" s="534"/>
      <c r="W286" s="534"/>
      <c r="X286" s="534"/>
      <c r="Y286" s="534"/>
      <c r="Z286" s="534"/>
      <c r="AA286" s="534"/>
      <c r="AB286" s="534"/>
      <c r="AC286" s="534"/>
      <c r="AD286" s="534"/>
      <c r="AE286" s="534"/>
      <c r="AF286" s="534"/>
      <c r="AG286" s="534"/>
      <c r="AH286" s="534"/>
      <c r="AI286" s="534"/>
      <c r="AJ286" s="534"/>
      <c r="AK286" s="534"/>
      <c r="AL286" s="534"/>
      <c r="AM286" s="534"/>
      <c r="AN286" s="534"/>
      <c r="AO286" s="534"/>
      <c r="AP286" s="534"/>
      <c r="AQ286" s="534"/>
      <c r="AR286" s="534"/>
      <c r="AS286" s="534"/>
      <c r="AT286" s="534"/>
    </row>
    <row r="287" spans="1:46" s="43" customFormat="1">
      <c r="A287" s="437">
        <v>46018</v>
      </c>
      <c r="B287" s="684" t="s">
        <v>265</v>
      </c>
      <c r="C287" s="680">
        <v>-12.57</v>
      </c>
      <c r="D287" s="406"/>
      <c r="E287" s="422"/>
      <c r="F287" s="31"/>
      <c r="G287" s="534"/>
      <c r="H287" s="534"/>
      <c r="I287" s="534"/>
      <c r="J287" s="534"/>
      <c r="K287" s="534"/>
      <c r="L287" s="534"/>
      <c r="M287" s="534"/>
      <c r="N287" s="534"/>
      <c r="O287" s="534"/>
      <c r="P287" s="534"/>
      <c r="Q287" s="534"/>
      <c r="R287" s="534"/>
      <c r="S287" s="534"/>
      <c r="T287" s="534"/>
      <c r="U287" s="534"/>
      <c r="V287" s="534"/>
      <c r="W287" s="534"/>
      <c r="X287" s="534"/>
      <c r="Y287" s="534"/>
      <c r="Z287" s="534"/>
      <c r="AA287" s="534"/>
      <c r="AB287" s="534"/>
      <c r="AC287" s="534"/>
      <c r="AD287" s="534"/>
      <c r="AE287" s="534"/>
      <c r="AF287" s="534"/>
      <c r="AG287" s="534"/>
      <c r="AH287" s="534"/>
      <c r="AI287" s="534"/>
      <c r="AJ287" s="534"/>
      <c r="AK287" s="534"/>
      <c r="AL287" s="534"/>
      <c r="AM287" s="534"/>
      <c r="AN287" s="534"/>
      <c r="AO287" s="534"/>
      <c r="AP287" s="534"/>
      <c r="AQ287" s="534"/>
      <c r="AR287" s="534"/>
      <c r="AS287" s="534"/>
      <c r="AT287" s="534"/>
    </row>
    <row r="288" spans="1:46" s="43" customFormat="1">
      <c r="A288" s="682">
        <v>46018</v>
      </c>
      <c r="B288" s="710" t="s">
        <v>314</v>
      </c>
      <c r="C288" s="707">
        <v>-20.9</v>
      </c>
      <c r="D288" s="406"/>
      <c r="E288" s="422"/>
      <c r="F288" s="31"/>
      <c r="G288" s="534"/>
      <c r="H288" s="534"/>
      <c r="I288" s="534"/>
      <c r="J288" s="534"/>
      <c r="K288" s="534"/>
      <c r="L288" s="534"/>
      <c r="M288" s="534"/>
      <c r="N288" s="534"/>
      <c r="O288" s="534"/>
      <c r="P288" s="534"/>
      <c r="Q288" s="534"/>
      <c r="R288" s="534"/>
      <c r="S288" s="534"/>
      <c r="T288" s="534"/>
      <c r="U288" s="534"/>
      <c r="V288" s="534"/>
      <c r="W288" s="534"/>
      <c r="X288" s="534"/>
      <c r="Y288" s="534"/>
      <c r="Z288" s="534"/>
      <c r="AA288" s="534"/>
      <c r="AB288" s="534"/>
      <c r="AC288" s="534"/>
      <c r="AD288" s="534"/>
      <c r="AE288" s="534"/>
      <c r="AF288" s="534"/>
      <c r="AG288" s="534"/>
      <c r="AH288" s="534"/>
      <c r="AI288" s="534"/>
      <c r="AJ288" s="534"/>
      <c r="AK288" s="534"/>
      <c r="AL288" s="534"/>
      <c r="AM288" s="534"/>
      <c r="AN288" s="534"/>
      <c r="AO288" s="534"/>
      <c r="AP288" s="534"/>
      <c r="AQ288" s="534"/>
      <c r="AR288" s="534"/>
      <c r="AS288" s="534"/>
      <c r="AT288" s="534"/>
    </row>
    <row r="289" spans="1:46">
      <c r="A289" s="420"/>
      <c r="B289" s="433" t="s">
        <v>315</v>
      </c>
      <c r="C289" s="404">
        <f>-SUM(C220:C288)</f>
        <v>4121.5999999999958</v>
      </c>
      <c r="D289" s="406"/>
      <c r="E289" s="422"/>
      <c r="F289" s="31"/>
      <c r="G289" s="534"/>
      <c r="H289" s="534"/>
      <c r="I289" s="534"/>
      <c r="J289" s="534"/>
      <c r="K289" s="534"/>
      <c r="L289" s="534"/>
      <c r="M289" s="534"/>
      <c r="N289" s="534"/>
      <c r="O289" s="534"/>
      <c r="P289" s="534"/>
      <c r="Q289" s="534"/>
      <c r="R289" s="534"/>
      <c r="S289" s="534"/>
      <c r="T289" s="534"/>
      <c r="U289" s="534"/>
      <c r="V289" s="534"/>
      <c r="W289" s="534"/>
      <c r="X289" s="534"/>
      <c r="Y289" s="534"/>
      <c r="Z289" s="534"/>
      <c r="AA289" s="534"/>
      <c r="AB289" s="534"/>
      <c r="AC289" s="534"/>
      <c r="AD289" s="534"/>
      <c r="AE289" s="534"/>
      <c r="AF289" s="534"/>
      <c r="AG289" s="534"/>
      <c r="AH289" s="534"/>
      <c r="AI289" s="534"/>
      <c r="AJ289" s="534"/>
      <c r="AK289" s="534"/>
      <c r="AL289" s="534"/>
      <c r="AM289" s="534"/>
      <c r="AN289" s="534"/>
      <c r="AO289" s="534"/>
      <c r="AP289" s="534"/>
      <c r="AQ289" s="534"/>
      <c r="AR289" s="534"/>
      <c r="AS289" s="534"/>
      <c r="AT289" s="534"/>
    </row>
    <row r="290" spans="1:46">
      <c r="A290" s="420"/>
      <c r="B290" s="433" t="s">
        <v>123</v>
      </c>
      <c r="C290" s="404">
        <f>C263+C265+C288</f>
        <v>-859.63</v>
      </c>
      <c r="D290" s="406"/>
      <c r="E290" s="422"/>
      <c r="F290" s="31"/>
      <c r="G290" s="534"/>
      <c r="H290" s="534"/>
      <c r="I290" s="534"/>
      <c r="J290" s="534"/>
      <c r="K290" s="534"/>
      <c r="L290" s="534"/>
      <c r="M290" s="534"/>
      <c r="N290" s="534"/>
      <c r="O290" s="534"/>
      <c r="P290" s="534"/>
      <c r="Q290" s="534"/>
      <c r="R290" s="534"/>
      <c r="S290" s="534"/>
      <c r="T290" s="534"/>
      <c r="U290" s="534"/>
      <c r="V290" s="534"/>
      <c r="W290" s="534"/>
      <c r="X290" s="534"/>
      <c r="Y290" s="534"/>
      <c r="Z290" s="534"/>
      <c r="AA290" s="534"/>
      <c r="AB290" s="534"/>
      <c r="AC290" s="534"/>
      <c r="AD290" s="534"/>
      <c r="AE290" s="534"/>
      <c r="AF290" s="534"/>
      <c r="AG290" s="534"/>
      <c r="AH290" s="534"/>
      <c r="AI290" s="534"/>
      <c r="AJ290" s="534"/>
      <c r="AK290" s="534"/>
      <c r="AL290" s="534"/>
      <c r="AM290" s="534"/>
      <c r="AN290" s="534"/>
      <c r="AO290" s="534"/>
      <c r="AP290" s="534"/>
      <c r="AQ290" s="534"/>
      <c r="AR290" s="534"/>
      <c r="AS290" s="534"/>
      <c r="AT290" s="534"/>
    </row>
    <row r="291" spans="1:46">
      <c r="B291" s="433" t="s">
        <v>41</v>
      </c>
      <c r="C291" s="404">
        <f>C289+C290</f>
        <v>3261.9699999999957</v>
      </c>
      <c r="D291" s="406"/>
      <c r="E291" s="422"/>
      <c r="F291" s="31"/>
      <c r="G291" s="534"/>
      <c r="J291" s="534"/>
    </row>
    <row r="292" spans="1:46">
      <c r="D292" s="406"/>
      <c r="E292" s="534"/>
      <c r="F292" s="31"/>
      <c r="G292" s="534"/>
      <c r="J292" s="534"/>
    </row>
    <row r="293" spans="1:46">
      <c r="C293" s="546"/>
      <c r="D293" s="406"/>
      <c r="E293" s="534"/>
      <c r="F293" s="31"/>
      <c r="G293" s="534"/>
      <c r="H293" s="534"/>
      <c r="I293" s="534"/>
      <c r="J293" s="534"/>
    </row>
    <row r="294" spans="1:46">
      <c r="D294" s="406"/>
      <c r="E294" s="534"/>
      <c r="F294" s="31"/>
      <c r="G294" s="534"/>
      <c r="H294" s="534"/>
      <c r="I294" s="534"/>
      <c r="J294" s="534"/>
    </row>
    <row r="295" spans="1:46">
      <c r="D295" s="406"/>
      <c r="E295" s="534"/>
      <c r="F295" s="31"/>
      <c r="G295" s="534"/>
      <c r="H295" s="534"/>
      <c r="I295" s="534"/>
      <c r="J295" s="534"/>
    </row>
    <row r="296" spans="1:46">
      <c r="D296" s="534"/>
      <c r="E296" s="534"/>
      <c r="F296" s="31"/>
      <c r="G296" s="544"/>
      <c r="H296" s="544"/>
      <c r="I296" s="534"/>
      <c r="J296" s="534"/>
    </row>
    <row r="297" spans="1:46">
      <c r="D297" s="534"/>
      <c r="E297" s="534"/>
      <c r="F297" s="31"/>
      <c r="G297" s="534"/>
      <c r="H297" s="534"/>
      <c r="I297" s="534"/>
      <c r="J297" s="534"/>
    </row>
    <row r="298" spans="1:46">
      <c r="D298" s="534"/>
      <c r="E298" s="534"/>
      <c r="F298" s="31"/>
      <c r="G298" s="534"/>
      <c r="H298" s="534"/>
      <c r="I298" s="534"/>
      <c r="J298" s="534"/>
    </row>
    <row r="299" spans="1:46">
      <c r="D299" s="534"/>
      <c r="F299" s="31"/>
    </row>
    <row r="300" spans="1:46">
      <c r="F300" s="31"/>
    </row>
    <row r="301" spans="1:46">
      <c r="F301" s="31"/>
    </row>
    <row r="303" spans="1:46">
      <c r="F303" s="534"/>
    </row>
    <row r="304" spans="1:46">
      <c r="F304" s="534"/>
    </row>
    <row r="305" spans="6:6">
      <c r="F305" s="534"/>
    </row>
    <row r="306" spans="6:6">
      <c r="F306" s="544"/>
    </row>
    <row r="307" spans="6:6">
      <c r="F307" s="534"/>
    </row>
    <row r="308" spans="6:6">
      <c r="F308" s="545"/>
    </row>
  </sheetData>
  <mergeCells count="1">
    <mergeCell ref="F14:F15"/>
  </mergeCells>
  <phoneticPr fontId="4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12550442D92146B467726F3D72C0E3" ma:contentTypeVersion="13" ma:contentTypeDescription="Crear nuevo documento." ma:contentTypeScope="" ma:versionID="297014557c1f74751fdf6d221259b548">
  <xsd:schema xmlns:xsd="http://www.w3.org/2001/XMLSchema" xmlns:xs="http://www.w3.org/2001/XMLSchema" xmlns:p="http://schemas.microsoft.com/office/2006/metadata/properties" xmlns:ns2="18d2eafe-4a32-4356-aa5e-057c89fcd41a" xmlns:ns3="5c91cbf0-05ce-4866-b639-727039cddc77" targetNamespace="http://schemas.microsoft.com/office/2006/metadata/properties" ma:root="true" ma:fieldsID="90a6e45428f1236f38332177a1630323" ns2:_="" ns3:_="">
    <xsd:import namespace="18d2eafe-4a32-4356-aa5e-057c89fcd41a"/>
    <xsd:import namespace="5c91cbf0-05ce-4866-b639-727039cddc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2eafe-4a32-4356-aa5e-057c89fcd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1cbf0-05ce-4866-b639-727039cddc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CA2DF-2BB2-4627-AD87-0C2BFEF3C3E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3FC7A34-3E78-4561-9655-BFE254E7B9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81D98-C0E8-4A81-A4B2-A09F048A1E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EA9FD491-2618-4580-B146-8146D6D996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2eafe-4a32-4356-aa5e-057c89fcd41a"/>
    <ds:schemaRef ds:uri="5c91cbf0-05ce-4866-b639-727039cddc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Tasa Cambio</vt:lpstr>
      <vt:lpstr>Comparativos</vt:lpstr>
      <vt:lpstr>2025</vt:lpstr>
      <vt:lpstr>2026</vt:lpstr>
      <vt:lpstr>Gastos TC enero 2026</vt:lpstr>
      <vt:lpstr>'2026'!Área_de_impresión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Guaicara</dc:creator>
  <cp:keywords/>
  <dc:description/>
  <cp:lastModifiedBy>Soporte Rubycom</cp:lastModifiedBy>
  <cp:revision/>
  <dcterms:created xsi:type="dcterms:W3CDTF">2021-12-29T20:16:06Z</dcterms:created>
  <dcterms:modified xsi:type="dcterms:W3CDTF">2026-01-29T15:04:24Z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0x0101007112550442D92146B467726F3D72C0E3</vt:lpwstr>
  </property>
</Properties>
</file>